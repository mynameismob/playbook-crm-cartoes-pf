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EstaPastaDeTrabalho"/>
  <mc:AlternateContent xmlns:mc="http://schemas.openxmlformats.org/markup-compatibility/2006">
    <mc:Choice Requires="x15">
      <x15ac:absPath xmlns:x15ac="http://schemas.microsoft.com/office/spreadsheetml/2010/11/ac" url="C:\Users\x346938\Downloads\"/>
    </mc:Choice>
  </mc:AlternateContent>
  <xr:revisionPtr revIDLastSave="0" documentId="8_{9E99DC2F-B152-4449-8B3C-3E6008346242}" xr6:coauthVersionLast="47" xr6:coauthVersionMax="47" xr10:uidLastSave="{00000000-0000-0000-0000-000000000000}"/>
  <bookViews>
    <workbookView xWindow="-110" yWindow="-110" windowWidth="19420" windowHeight="10300" tabRatio="598" firstSheet="1" activeTab="1" xr2:uid="{A2974E13-810C-4E2A-AB7D-91711FCBAA7E}"/>
  </bookViews>
  <sheets>
    <sheet name="Capa" sheetId="2" r:id="rId1"/>
    <sheet name="Variáveis CDP" sheetId="1" r:id="rId2"/>
    <sheet name="BACKLOG PF" sheetId="4" r:id="rId3"/>
    <sheet name="EVENTOS BATCH" sheetId="6" r:id="rId4"/>
    <sheet name="Eventos" sheetId="3" state="hidden" r:id="rId5"/>
  </sheets>
  <definedNames>
    <definedName name="_xlnm._FilterDatabase" localSheetId="2" hidden="1">'BACKLOG PF'!$A$1:$I$104</definedName>
    <definedName name="_xlnm._FilterDatabase" localSheetId="4" hidden="1">Eventos!$A$1:$H$65</definedName>
    <definedName name="_xlnm._FilterDatabase" localSheetId="1" hidden="1">'Variáveis CDP'!$A$2:$O$559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78" i="1" l="1"/>
  <c r="L575" i="1"/>
  <c r="L576" i="1"/>
  <c r="L574" i="1"/>
  <c r="I83" i="4"/>
  <c r="I81" i="4"/>
  <c r="I80" i="4"/>
  <c r="I79" i="4"/>
  <c r="I77" i="4"/>
  <c r="I76" i="4"/>
  <c r="I75" i="4"/>
  <c r="I74" i="4"/>
  <c r="I73" i="4"/>
  <c r="I72" i="4"/>
  <c r="I71" i="4"/>
  <c r="I70" i="4"/>
  <c r="I69" i="4"/>
  <c r="I68" i="4"/>
  <c r="I67" i="4"/>
  <c r="I66" i="4"/>
  <c r="I65" i="4"/>
  <c r="I64" i="4"/>
  <c r="I63" i="4"/>
  <c r="I62" i="4"/>
  <c r="I61" i="4"/>
  <c r="I60" i="4"/>
  <c r="I59" i="4"/>
  <c r="I58" i="4"/>
  <c r="I57" i="4"/>
  <c r="I56" i="4"/>
  <c r="I55" i="4"/>
  <c r="I53" i="4"/>
  <c r="I52" i="4"/>
  <c r="I51" i="4"/>
  <c r="I50" i="4"/>
  <c r="I49" i="4"/>
  <c r="I47" i="4"/>
  <c r="I46" i="4"/>
  <c r="I45" i="4"/>
  <c r="I44" i="4"/>
  <c r="I42" i="4"/>
  <c r="I41" i="4"/>
  <c r="I37" i="4"/>
  <c r="I35" i="4"/>
  <c r="I34" i="4"/>
  <c r="I33" i="4"/>
  <c r="I32" i="4"/>
  <c r="I30" i="4"/>
  <c r="I29" i="4"/>
  <c r="I28" i="4"/>
  <c r="I27" i="4"/>
  <c r="I25" i="4"/>
  <c r="I24" i="4"/>
  <c r="I23" i="4"/>
  <c r="I21" i="4"/>
  <c r="I8" i="4"/>
</calcChain>
</file>

<file path=xl/sharedStrings.xml><?xml version="1.0" encoding="utf-8"?>
<sst xmlns="http://schemas.openxmlformats.org/spreadsheetml/2006/main" count="8529" uniqueCount="3170">
  <si>
    <t>Campo</t>
  </si>
  <si>
    <t>Detalhamento</t>
  </si>
  <si>
    <t>Schema</t>
  </si>
  <si>
    <t>Schema da CDP no qual a informação se encontra</t>
  </si>
  <si>
    <t>Path</t>
  </si>
  <si>
    <t>Caminho da informação, ideal para diferenciar variáveis com nomes similares. Se estiver azul, significa que o mesmo campo está sendo utilizado para informações pedidas separadamente, como é o caso dos dados que existem em PF e PJ.</t>
  </si>
  <si>
    <t>Nome</t>
  </si>
  <si>
    <t>Nome da variável dentro da ferramenta</t>
  </si>
  <si>
    <t>Display Name</t>
  </si>
  <si>
    <t>Nome que aparece para o usuário durante a construção de audiências</t>
  </si>
  <si>
    <t>Variável</t>
  </si>
  <si>
    <t>Nome da variável no universo Santander Brasil</t>
  </si>
  <si>
    <t>Ex. de Caso de Uso</t>
  </si>
  <si>
    <t>Exemplo de uso da variável (em construção)</t>
  </si>
  <si>
    <t>Visão Cliente/Contrato</t>
  </si>
  <si>
    <t>Define se a variável está na visão cliente (CPF/CNPJ) ou na visão contrato</t>
  </si>
  <si>
    <t>Quais produtos (CD_PROD)?</t>
  </si>
  <si>
    <t>Se a variável está na visão contrato, detalha em quais produtos ela está sendo preenchida</t>
  </si>
  <si>
    <t>Distinct (TOP 3)</t>
  </si>
  <si>
    <t>Top 3 resultados da variável, para identificar o formato do campo</t>
  </si>
  <si>
    <t>Valor Nulo</t>
  </si>
  <si>
    <t>Valor declarado para a variável quando a informação não existe ou é 0</t>
  </si>
  <si>
    <t>Origem C360</t>
  </si>
  <si>
    <t>Base origem, que contém os dados da variável</t>
  </si>
  <si>
    <t>Campo C360</t>
  </si>
  <si>
    <t>Nome do campo correspondente da variável na CDP</t>
  </si>
  <si>
    <t>Regra</t>
  </si>
  <si>
    <t>Regra aplicada (se houver) para chegar no valor final</t>
  </si>
  <si>
    <t>l</t>
  </si>
  <si>
    <t>Informações Adobe CDP</t>
  </si>
  <si>
    <t>ID</t>
  </si>
  <si>
    <t>Tipo Pessoa</t>
  </si>
  <si>
    <t>Ex. de Caso de Uso/Comentários</t>
  </si>
  <si>
    <t>PF/PJ</t>
  </si>
  <si>
    <t>Contracts and Proposal Profile Schema</t>
  </si>
  <si>
    <t>_santanderamerica.account.account_total_number</t>
  </si>
  <si>
    <t>account_total_number</t>
  </si>
  <si>
    <t>Account Total Number</t>
  </si>
  <si>
    <t>Quantidade de contas correntes relacionadas ao cliente</t>
  </si>
  <si>
    <t>Verificar cliente com posse de conta corrente (correntista)</t>
  </si>
  <si>
    <t>Cliente</t>
  </si>
  <si>
    <t>N/A</t>
  </si>
  <si>
    <t>0
1
2</t>
  </si>
  <si>
    <t>0
NULL</t>
  </si>
  <si>
    <t>g_stbr_c360.cntr_prop_prod_psse</t>
  </si>
  <si>
    <t>qt_cnta_crrt</t>
  </si>
  <si>
    <t>PF</t>
  </si>
  <si>
    <t>_santanderamerica.account.payroll_account_total_number</t>
  </si>
  <si>
    <t>payroll_account_total_number</t>
  </si>
  <si>
    <t>Payroll Account Total Number</t>
  </si>
  <si>
    <t>Quantidade de contas salário relacionadas ao cliente</t>
  </si>
  <si>
    <t>Verifica clientes com posse de conta salário</t>
  </si>
  <si>
    <t>qt_cnta_salr</t>
  </si>
  <si>
    <t>Features and ML Models Profile Schema</t>
  </si>
  <si>
    <t>_santanderamerica.categorization_model.recurring_bll_pending_pymt_clu</t>
  </si>
  <si>
    <t>recurring_bll_pending_pymt_clu</t>
  </si>
  <si>
    <t>Descrição do tipo de conta que o cliente paga com recorrência no Santander</t>
  </si>
  <si>
    <t>Dados que contemplam o Insight de Ausência de Pagamento de Conta no Santander</t>
  </si>
  <si>
    <t>seguro
eletricidade
saneamento</t>
  </si>
  <si>
    <t>N/A
NULL</t>
  </si>
  <si>
    <t>s_stbr_drm_nba.cdp_catg</t>
  </si>
  <si>
    <t>ds_suba</t>
  </si>
  <si>
    <t>WITH BASE_PGTO_CONTA AS 
(
  select  nr_cpf_cnpj, -- identificador do cliente
          ds_suba, -- subcategoria
          ds_banc, -- santander vs. mercado
          valo, -- valor
          date_add(dt_refe, cast(-rcen as int)) as dt_ult_pgto, -- dias desde o último pagamento
          case when cast(split(dscr,'_')[2] as integer) &lt; dayofmonth(dt_refe) 
                then to_date(concat(date_format(add_months(dt_refe,1),'yyyy-MM'),'-',lpad(cast(split(dscr,'_')[2] as integer),2,'0')))
                else to_date(concat(date_format(dt_refe,'yyyy-MM'),'-',lpad(cast(split(dscr,'_')[2] as integer),2,'0'))) end as dt_prev -- data prevista do próximo pagamento
  from   prd.s_stbr_drm_nba.cdp_catg
  where  dt_refe = (select max(dt_refe) from prd.s_stbr_drm_nba.cdp_catg )
  and    dscr like '%recorrencia_dia%'
  and    upper(ds_suba) in ('GÁS','TELECOM (SATÉLITE)', 'TELECOM (POR FIO)', 'ELETRICIDADE','SANEAMENTO', 'TV A CABO',
                            'SEGURO', 'CONSORCIO AUTO', 'ALUGUEL', 'CELULAR CONTROLE', 'FACULDADES', 'SEGURO RESID')
  and    rcen &gt;= 30 -- filtrar clientes com mais de 30 dias desde o último pagamento
)
select  nr_cpf_cnpj, -- identificador do cliente
        ds_suba, -- subcategoria
        ds_banc, -- santander vs. mercado
        valo, -- valor da conta
        dt_ult_pgto, -- última compra
        dt_prev -- data prevista do próixmo pagamento
from (
  select    *,
            row_number() over(partition by nr_cpf_cnpj, case when ds_banc like '%santan%' then 1 else 0 end order by dt_prev, valo desc) as nr_priorizacao
  from      BASE_PGTO_CONTA)
where nr_priorizacao = 1
and   ds_banc like '%santan%'</t>
  </si>
  <si>
    <t>_santanderamerica.categorization_model.recurring_bll_pending_pymt_expctd_dte</t>
  </si>
  <si>
    <t>recurring_bll_pending_pymt_expctd_dte</t>
  </si>
  <si>
    <t>Data prevista do próximo pagamento de conta no Santander</t>
  </si>
  <si>
    <t>06/10/2025
05/27/2025
06/03/2025</t>
  </si>
  <si>
    <t>NULL
12/31/9999</t>
  </si>
  <si>
    <t>dt_ult_pgto</t>
  </si>
  <si>
    <t>_santanderamerica.categorization_model.recurring_bll_pending_pymt_lst_dte</t>
  </si>
  <si>
    <t>recurring_bll_pending_pymt_lst_dte</t>
  </si>
  <si>
    <t>Data desde o último pagamento da conta no Santander</t>
  </si>
  <si>
    <t>_santanderamerica.categorization_model.recurring_bll_pending_pymt_mt</t>
  </si>
  <si>
    <t>recurring_bll_pending_pymt_mt</t>
  </si>
  <si>
    <t>Valor da conta que o cliente paga com recorrência no Santander</t>
  </si>
  <si>
    <t>167,21
110,52
123,61</t>
  </si>
  <si>
    <t>valo</t>
  </si>
  <si>
    <t>Internal Profile Schema</t>
  </si>
  <si>
    <t>_santanderamerica.channelactivity_digitalnavegation_cus.device_last_login_operating_system_description</t>
  </si>
  <si>
    <t>device_last_login_operating_system_description</t>
  </si>
  <si>
    <t>Tipo do Processador / Device que logou a última vez</t>
  </si>
  <si>
    <t>IOS, Android, N/A</t>
  </si>
  <si>
    <t>NULL
N/A</t>
  </si>
  <si>
    <t>g_stbr_c360.omni_aces</t>
  </si>
  <si>
    <t>ds_so</t>
  </si>
  <si>
    <t>_santanderamerica.classification_model.checking_account_stamp</t>
  </si>
  <si>
    <t>checking_account_stamp</t>
  </si>
  <si>
    <t>Checking Account Stamp</t>
  </si>
  <si>
    <t>Selos de abertura de conta corrente</t>
  </si>
  <si>
    <t>Modelo de priorização de prospect para comunicação</t>
  </si>
  <si>
    <t>ultimo_recurso
nao_atuar
pedra</t>
  </si>
  <si>
    <t>g_stbr_c360.perf_indc_mode_clie
g_stbr_c360.perf_indc_mode_nao_clie</t>
  </si>
  <si>
    <t>in_selo_cnta_crrt (conta corrente)</t>
  </si>
  <si>
    <t>_santanderamerica.classification_model.customer_chnl_bhv_clu</t>
  </si>
  <si>
    <t>customer_chnl_bhv_clu</t>
  </si>
  <si>
    <t>Categorização do Modelo CUB</t>
  </si>
  <si>
    <t>2) ANALOGICO CURIOSO
7/ FULL DIGITAL
6)DIGITAL TRANSACIONAL</t>
  </si>
  <si>
    <t>s_stbr_drm_nba.catg_cub</t>
  </si>
  <si>
    <t>ds_catg_cub</t>
  </si>
  <si>
    <t>_santanderamerica.classification_model.customer_control_group_clu</t>
  </si>
  <si>
    <t>customer_control_group_clu</t>
  </si>
  <si>
    <t>Indicador de grupo controle de relacionamento</t>
  </si>
  <si>
    <t>false
true</t>
  </si>
  <si>
    <t>NULL</t>
  </si>
  <si>
    <t>s_stbr_drm_nba.grup_ctrl_rela_diar_crm</t>
  </si>
  <si>
    <t>"where   dt_refe_crga between add_months(date_sub(current_date(), 2), -12) and date_sub(current_date(), 2)
and         tipo_pess = 'PF'"</t>
  </si>
  <si>
    <t>_santanderamerica.classification_model.customer_control_group_indicator</t>
  </si>
  <si>
    <t>customer_control_group_indicator</t>
  </si>
  <si>
    <t>Customer Control Group Indicator</t>
  </si>
  <si>
    <t>Indicador de grupo controle</t>
  </si>
  <si>
    <t>Exclusão de um grupo controle nas comunucações para realização de estudos</t>
  </si>
  <si>
    <t>False; True</t>
  </si>
  <si>
    <t>s_stbr_drm_nba.grup_ctrl_unvr_diar_crm</t>
  </si>
  <si>
    <t>dt_refe_crga</t>
  </si>
  <si>
    <t>tipo_pess IN ('PF', 'PROSPECT_PF', 'CMC')</t>
  </si>
  <si>
    <t>_santanderamerica.classification_model.customer_dna_cluster</t>
  </si>
  <si>
    <t>customer_dna_cluster</t>
  </si>
  <si>
    <t>Customer DNA Cluster</t>
  </si>
  <si>
    <t>Clusterização realizada por riscos</t>
  </si>
  <si>
    <t>Identificar clientes assalariados de mercado</t>
  </si>
  <si>
    <t>19
1
6</t>
  </si>
  <si>
    <t>g_stbr_c360.perf_score_indc</t>
  </si>
  <si>
    <t>id_cluster_agru_dna</t>
  </si>
  <si>
    <t>_santanderamerica.classification_model.customer_fncl_bhv_clu</t>
  </si>
  <si>
    <t>customer_fncl_bhv_clu</t>
  </si>
  <si>
    <t>Cluster potencial do cliente</t>
  </si>
  <si>
    <t>O "Size Clientes PF" tem por objetivo avaliar o potencial financeiro dos clientes Pessoa Física (PF) do banco. Através deste processo, os clientes são segmentados em grupos com base em seu comportamento financeiro, permitindo uma atuação mais direcionada e uma melhor compreensão da carteira de clientes.</t>
  </si>
  <si>
    <t>Potencial A
Potencial B
Potencial C</t>
  </si>
  <si>
    <t>s_stbr_drm_nba.mode_size_clie_pf</t>
  </si>
  <si>
    <t>pote_sub_seg</t>
  </si>
  <si>
    <t>_santanderamerica.classification_model.customer_next_best_offer</t>
  </si>
  <si>
    <t>customer_next_best_offer</t>
  </si>
  <si>
    <t>Atributo de priorização de ofertas por cliente</t>
  </si>
  <si>
    <t>Priorização de oferta</t>
  </si>
  <si>
    <t>20097
10053
20105</t>
  </si>
  <si>
    <t>-1
NULL</t>
  </si>
  <si>
    <t>TÁTICO</t>
  </si>
  <si>
    <t>_santanderamerica.classification_model.customer_santander_principal_bank</t>
  </si>
  <si>
    <t>customer_santander_principal_bank</t>
  </si>
  <si>
    <t>Customer Santander Principal Bank</t>
  </si>
  <si>
    <t>Modelo de principalidade do cliente</t>
  </si>
  <si>
    <t>Identificar clientes que possuem o Santander como banco principal, ou prioriza outros bancos</t>
  </si>
  <si>
    <t>0 - Prefere Concorrencia
2 - Banco Principal
1 - 2 Banco</t>
  </si>
  <si>
    <t>ds_prin</t>
  </si>
  <si>
    <t>_santanderamerica.classification_model.customer_savacc_clu</t>
  </si>
  <si>
    <t>customer_savacc_clu</t>
  </si>
  <si>
    <t>Segmento Poupancista</t>
  </si>
  <si>
    <t>Segmentação de clientes com perfil poupancista. Modelo: https://confluence.santanderbr.corp/pages/viewpage.action?pageId=927762536</t>
  </si>
  <si>
    <t>A: Poupancista - Fluxo de Caixa (Saldo Final Zero)
B: Poupancista - Baixa Transacionalidade (Deficitário)
C: Poupancista - Diversificado</t>
  </si>
  <si>
    <t>s_stbr_drm_nba.cluster_poup_pf</t>
  </si>
  <si>
    <t>tp_cluster</t>
  </si>
  <si>
    <t>_santanderamerica.classification_model.customer_vulnerable</t>
  </si>
  <si>
    <t>customer_vulnerable</t>
  </si>
  <si>
    <t>Customer Vulnerable</t>
  </si>
  <si>
    <t>Clusterização de clientes vulneráveis</t>
  </si>
  <si>
    <t>Identificar clientes que são vulneráveis para exclusão nas audiências</t>
  </si>
  <si>
    <t>3 - M1
1 - B1
2 - B2</t>
  </si>
  <si>
    <t>cd_cluster_vlnr</t>
  </si>
  <si>
    <t>_santanderamerica.classification_model.external_fee_paid_indicator</t>
  </si>
  <si>
    <t>external_fee_paid_indicator</t>
  </si>
  <si>
    <t>External Fee Paid Indicator</t>
  </si>
  <si>
    <t>Paga tarifa em outro banco</t>
  </si>
  <si>
    <t>Identificar clientes que pagam tarifa de conta em outros bancos</t>
  </si>
  <si>
    <t>s_stbr_drm_nba.catg_prod_tran</t>
  </si>
  <si>
    <t>where       nm_banc_cstm not like '%santander%'
and         ds_catg = 'tarifas'</t>
  </si>
  <si>
    <t>_santanderamerica.classification_model.loan_payroll_deductible_stamp</t>
  </si>
  <si>
    <t>na</t>
  </si>
  <si>
    <t>Loan Payroll Deductible Stamp</t>
  </si>
  <si>
    <t>Selos de contratação de consignado (prospect)</t>
  </si>
  <si>
    <t>chumbo
pedra
plastico</t>
  </si>
  <si>
    <t>in_selo_conn (consignado)</t>
  </si>
  <si>
    <t>_santanderamerica.classification_model.loan_stamp</t>
  </si>
  <si>
    <t>loan_stamp</t>
  </si>
  <si>
    <t>Loan Stamp</t>
  </si>
  <si>
    <t>Selos de contratação de financiamento</t>
  </si>
  <si>
    <t>in_selo_finc (financiamento)</t>
  </si>
  <si>
    <t>Consent Profile Schema</t>
  </si>
  <si>
    <t>_santanderamerica.compliance_cus.consent_product.guarantee_fund_time_of_service_indicator</t>
  </si>
  <si>
    <t>guarantee_fund_time_of_service_indicator</t>
  </si>
  <si>
    <t>Consent GFTS Indicator</t>
  </si>
  <si>
    <t>Indicador de FGTS</t>
  </si>
  <si>
    <t>Identificar clientes que possuem o Opt In no FGTS (Opt In Duplo;Opt In)</t>
  </si>
  <si>
    <t>g_stbr_c360.posi_movi_empt_finc_pf</t>
  </si>
  <si>
    <t>dt_optin_cp_fgts</t>
  </si>
  <si>
    <t>_santanderamerica.compliance_cus.consent_product.guarantee_fund_time_of_service_last_date</t>
  </si>
  <si>
    <t>guarantee_fund_time_of_service_last_date</t>
  </si>
  <si>
    <t>Consent GFTS Last Date</t>
  </si>
  <si>
    <t>Última data de Optin FGTS</t>
  </si>
  <si>
    <t>Filtrar clientes que deram opt in de FGTS em um determinado período de tempo</t>
  </si>
  <si>
    <t>12/31/9999
12/23/2024
11/22/2024</t>
  </si>
  <si>
    <t>_santanderamerica.compliance_cus.open_finance.inbound_expiry_date</t>
  </si>
  <si>
    <t>inbound_expiry_date</t>
  </si>
  <si>
    <t>Inbound Expiry Date</t>
  </si>
  <si>
    <t>Data de expiração de Inbound</t>
  </si>
  <si>
    <t>Data que expira o consentimento inbound (de entrada) no Open Finance</t>
  </si>
  <si>
    <t>01/01/2300
01/04/2024
01/05/2024</t>
  </si>
  <si>
    <t>g_stbr_c360.patr_exte_ofinc_cstm</t>
  </si>
  <si>
    <t>dt_venc_cstm_ofin</t>
  </si>
  <si>
    <t>_santanderamerica.compliance_cus.open_finance.inbound_last_date</t>
  </si>
  <si>
    <t>inbound_last_date</t>
  </si>
  <si>
    <t>Inbound Last Date</t>
  </si>
  <si>
    <t>Última Data de Consetimento Inbound</t>
  </si>
  <si>
    <t>Última data que o cliente deu o consentimento para o Open Finance (inbound - entrada)</t>
  </si>
  <si>
    <t>12/31/9999
11/22/2024
12/11/2024</t>
  </si>
  <si>
    <t>dt_ulti_cstm_autz_ofin</t>
  </si>
  <si>
    <t>_santanderamerica.compliance_cus.open_finance.inbound_number</t>
  </si>
  <si>
    <t>inbound_number</t>
  </si>
  <si>
    <t>Inbound Number</t>
  </si>
  <si>
    <t>Consentimento Inbound OF</t>
  </si>
  <si>
    <t>Identificar clientes que possuem consentimento de open finance INBOUND</t>
  </si>
  <si>
    <t>1
2
3</t>
  </si>
  <si>
    <t>qt_cstm_autz_ofin</t>
  </si>
  <si>
    <t>_santanderamerica.compliance_cus.open_finance.investment_number</t>
  </si>
  <si>
    <t>investment_number</t>
  </si>
  <si>
    <t>Investment Number</t>
  </si>
  <si>
    <t>Consentimento OF de Investimentos</t>
  </si>
  <si>
    <t>Identificar clientes que possuem consentimento de open finance na categoria de investimentos</t>
  </si>
  <si>
    <t>qt_cstm_inve_autz_ofin</t>
  </si>
  <si>
    <t>_santanderamerica.compliance_cus.open_finance.outbound_last_date</t>
  </si>
  <si>
    <t>outbound_last_date</t>
  </si>
  <si>
    <t>Outbound Last Date</t>
  </si>
  <si>
    <t>Data do último consentimento outbound Open Finance</t>
  </si>
  <si>
    <t>Mon May 27 2024 03:00:00 GMT-0300 (Horário Padrão de Brasília)
Mon Feb 19 2024 03:00:00 GMT-0300 (Horário Padrão de Brasília)
Mon Apr 15 2024 03:00:00 GMT-0300 (Horário Padrão de Brasília)</t>
  </si>
  <si>
    <t>dt_ulti_cstm_autz_ofout</t>
  </si>
  <si>
    <t>_santanderamerica.contract_cus.account.acc_fe_excp_flg</t>
  </si>
  <si>
    <t>acc_fe_excp_flg</t>
  </si>
  <si>
    <t>account_fee_exception_indicator</t>
  </si>
  <si>
    <t>Isenção de pacote de tarifas</t>
  </si>
  <si>
    <t>Indicador de isenção no pacote de tarifa</t>
  </si>
  <si>
    <t>g_stbr_c360.cntr_prop_paco_tari</t>
  </si>
  <si>
    <t>pc_isen_paco_tari_cnta_prin</t>
  </si>
  <si>
    <t>pc_isen_paco_tari_cnta_prin &gt; 0</t>
  </si>
  <si>
    <t>_santanderamerica.contract_cus.account.acc_fe_out_pkg_l6m_flg</t>
  </si>
  <si>
    <t>acc_fe_out_pkg_l6m_flg</t>
  </si>
  <si>
    <t>Indicador de cliente que realiza o pagamento avulso de tarifas fora do pacote</t>
  </si>
  <si>
    <t>Marcação se o cliente realiza o pagamento avulso de tarifas fora do pacote, analisando os últimos 6 meses.</t>
  </si>
  <si>
    <t>g_stbr_c360.contract_cus</t>
  </si>
  <si>
    <t>account_fee_outside_package_last_6_months_indicator</t>
  </si>
  <si>
    <t>_santanderamerica.contract_cus.account.acc_ovdf_massv_flg</t>
  </si>
  <si>
    <t>acc_ovdf_massv_flg</t>
  </si>
  <si>
    <t>account_overdraft_massive_indicator</t>
  </si>
  <si>
    <t>Opt Out Cheque Especial</t>
  </si>
  <si>
    <t>Identifica clientes elegíveis as ofertas de opt out de cheque especial</t>
  </si>
  <si>
    <t>g_stbr_c360.cntr_prop_ches</t>
  </si>
  <si>
    <t>ds_ulti_movi_optout, ds_prin_movi_optout</t>
  </si>
  <si>
    <t>WHERE DS_ULTI_MOVI_OPTOUT = 'Banco Habilitou' AND DS_PRIN_MOVI_OPTOUT = 'Banco Habilitou'</t>
  </si>
  <si>
    <t>_santanderamerica.contract_cus.account.acc_tff_pkg_cde</t>
  </si>
  <si>
    <t>acc_tff_pkg_cde</t>
  </si>
  <si>
    <t>account_tariff_package_code</t>
  </si>
  <si>
    <t>Pacote de tarifas contratado</t>
  </si>
  <si>
    <t>Código do pacote de tarifas contratado</t>
  </si>
  <si>
    <t>5348
5080
5349</t>
  </si>
  <si>
    <t>cd_paco_atul_cnta_prin</t>
  </si>
  <si>
    <t>_santanderamerica.contract_cus.account.acc_tff_pkg_chg_l6m_flg</t>
  </si>
  <si>
    <t>acc_tff_pkg_chg_l6m_flg</t>
  </si>
  <si>
    <t>Indicador de cliente que tem o mesmo pacote contratado nos últimos 6 meses</t>
  </si>
  <si>
    <t>account_tariff_package_change_last_6_months_indicator</t>
  </si>
  <si>
    <t>_santanderamerica.contract_cus.account.account_last_opening_datetime</t>
  </si>
  <si>
    <t>account_last_opening_datetime</t>
  </si>
  <si>
    <t>Account Last Opening Datetime</t>
  </si>
  <si>
    <t>Data de abertura de conta mais recente</t>
  </si>
  <si>
    <t>Segmentação de clientes que abriram conta em um determinado período de tempo</t>
  </si>
  <si>
    <t>01/01/1960
09/30/2024
11/17/2008</t>
  </si>
  <si>
    <t>g_stbr_c360.perf_fnac_clie</t>
  </si>
  <si>
    <t>dt_aber_cnta_mais_rect</t>
  </si>
  <si>
    <t>_santanderamerica.contract_cus.account.account_last_opening_reason</t>
  </si>
  <si>
    <t>account_last_opening_reason</t>
  </si>
  <si>
    <t>Account Last Opening Reason</t>
  </si>
  <si>
    <t>Código de origem da abertura da conta</t>
  </si>
  <si>
    <t>Identificar abertura de conta digital ou física</t>
  </si>
  <si>
    <t>085
007
092</t>
  </si>
  <si>
    <t>cd_orig_aber_cnta</t>
  </si>
  <si>
    <t>_santanderamerica.contract_cus.account.account_last_transaction_datetime </t>
  </si>
  <si>
    <t>account_last_transaction_datetime </t>
  </si>
  <si>
    <t>Data da última movimentação espontânea</t>
  </si>
  <si>
    <t>Identificar clientes ativos ou paralisados</t>
  </si>
  <si>
    <t>02/03/2025
02/05/2025
12/31/9999</t>
  </si>
  <si>
    <t>g_stbr_c360.perf_inte_fnac_clie_diar</t>
  </si>
  <si>
    <t>dt_ulti_movi_espt</t>
  </si>
  <si>
    <t>_santanderamerica.contract_cus.account.account_overdraft_indicator</t>
  </si>
  <si>
    <t>account_overdraft_indicator</t>
  </si>
  <si>
    <t>Opt In vitálicio de cheque especial</t>
  </si>
  <si>
    <t>Identificar clientes que já possuem o opt in de cheque</t>
  </si>
  <si>
    <t>qt_optin_ches</t>
  </si>
  <si>
    <t>_santanderamerica.contract_cus.account.account_overdraft_limit_amount</t>
  </si>
  <si>
    <t>account_overdraft_limit_amount</t>
  </si>
  <si>
    <t>Valor de limite implantado do cheque especial</t>
  </si>
  <si>
    <t>Segmentação de clientes baseada no limite disponível</t>
  </si>
  <si>
    <t>0
100
500</t>
  </si>
  <si>
    <t>g_stbr_c360.risc_limi</t>
  </si>
  <si>
    <t>VL_LIMI_CHES</t>
  </si>
  <si>
    <t>_santanderamerica.contract_cus.account.pvpens_flg</t>
  </si>
  <si>
    <t>pvpens_flg</t>
  </si>
  <si>
    <t>pvpens flg</t>
  </si>
  <si>
    <t>Previdencia privada - Posse</t>
  </si>
  <si>
    <t>Indicador de posse de previdência</t>
  </si>
  <si>
    <t>g_stbr_c360.posi_movi_prvd</t>
  </si>
  <si>
    <t>vl_sald_brut_totl_apli_prvd</t>
  </si>
  <si>
    <t>vl_sald_brut_totl_apli_prvd &gt; 0</t>
  </si>
  <si>
    <t>_santanderamerica.contract_cus.acqrn.cr_mach_registration_lst_dte</t>
  </si>
  <si>
    <t>cr_mach_registration_lst_dte</t>
  </si>
  <si>
    <t>Data do último credenciamento</t>
  </si>
  <si>
    <t>02/28/2020
06/30/2022
12/03/2024</t>
  </si>
  <si>
    <t>acquiring_card_machine_registration_last_date</t>
  </si>
  <si>
    <t>_santanderamerica.contract_cus.acqrn.lst_dte_sta</t>
  </si>
  <si>
    <t>lst_dte_sta</t>
  </si>
  <si>
    <t>Status da última contratação de adquirência</t>
  </si>
  <si>
    <t>Verifica a posse de adquirência ativa ou cancelada</t>
  </si>
  <si>
    <t>Credenciamento
Recredenciamento
Cancelado</t>
  </si>
  <si>
    <t>acquiring_last_date_status</t>
  </si>
  <si>
    <t>_santanderamerica.contract_cus.acqrn.tot_nr</t>
  </si>
  <si>
    <t>tot_nr</t>
  </si>
  <si>
    <t>Quantidade de adquirências contratadas</t>
  </si>
  <si>
    <r>
      <t>1</t>
    </r>
    <r>
      <rPr>
        <strike/>
        <sz val="11"/>
        <color theme="1"/>
        <rFont val="Aptos Narrow"/>
        <family val="2"/>
        <scheme val="minor"/>
      </rPr>
      <t xml:space="preserve">
</t>
    </r>
    <r>
      <rPr>
        <sz val="11"/>
        <color theme="1"/>
        <rFont val="Aptos Narrow"/>
        <family val="2"/>
        <scheme val="minor"/>
      </rPr>
      <t>2</t>
    </r>
    <r>
      <rPr>
        <strike/>
        <sz val="11"/>
        <color theme="1"/>
        <rFont val="Aptos Narrow"/>
        <family val="2"/>
        <scheme val="minor"/>
      </rPr>
      <t xml:space="preserve">
</t>
    </r>
    <r>
      <rPr>
        <sz val="11"/>
        <color theme="1"/>
        <rFont val="Aptos Narrow"/>
        <family val="2"/>
        <scheme val="minor"/>
      </rPr>
      <t>3</t>
    </r>
  </si>
  <si>
    <t>NULL
0</t>
  </si>
  <si>
    <t>acquiring_total_number</t>
  </si>
  <si>
    <t>_santanderamerica.contract_cus.agreement.active_agreement_indicator</t>
  </si>
  <si>
    <t>active_agreement_indicator</t>
  </si>
  <si>
    <t>Posse de Acordo</t>
  </si>
  <si>
    <t>Identifica clientes que possuem um acordo ativo</t>
  </si>
  <si>
    <t>g_stbr_c360.cntr_prop_acor</t>
  </si>
  <si>
    <t>in_psse_acor_ativ</t>
  </si>
  <si>
    <t>_santanderamerica.contract_cus.consm_fin.prd_cde</t>
  </si>
  <si>
    <t>prd_cde</t>
  </si>
  <si>
    <t>Código de produto principal dos clientes monoprodutistas</t>
  </si>
  <si>
    <t>Código do produto principal, utilizado para identificar o tipo de monoprodutista. De-para (07/2025):
0	NÃO IDENTIFICADO
1	CONTA CORRENTE (TRANSACIONAL)
2	CONTA SALÁRIO (TRANSACIONAL)
3	CONTA SUPER (TRANSACIONAL)
4	CARTÃO DE CRÉDITO - FATURAMENTO
5	PRODUTO DE CAPTAÇÃO
6	PRODUTO DE CRÉDITO
7	SANTANDER FINANCIAMENTOS
8	OLÉ BONSUCESSO
9	CONSÓRCIO
10	SEGUROS
11	CAPITALIZAÇÃO
12	CONTA CORRENTE (SEM MOVIMENTO)
13	CONTA SALÁRIO (SEM MOVIMENTO)
14	CONTA SUPER (SEM MOVIMENTO)
15	USO DO CARTÃO DE CRÉDITO
16	CARTÃO DESBLOQUEADO C/ LIMITE
17	GETNET
18	CASH MANAGEMENT
19	POUPANÇA
20	ACORDOS VIGENTES
21	CARTÃO DE CRÉDITO - FINANCIAMENTO
22	CONTA CORRENTE (TRANSACIONAL ATIVADO SALDO)
23	BENEFICIÁRIO DO INSS
24	CONTA CORRENTE INATIVA (COM MOVIMENTO)</t>
  </si>
  <si>
    <t>consumer_finance_product_code</t>
  </si>
  <si>
    <t>_santanderamerica.contract_cus.credit_card.cc_actv_istlmt_nr</t>
  </si>
  <si>
    <t>cc_actv_istlmt_nr</t>
  </si>
  <si>
    <t>Quantidade de contratos de parcelamento de fatura ativos</t>
  </si>
  <si>
    <t>credit_card_active_installment_number</t>
  </si>
  <si>
    <t>_santanderamerica.contract_cus.credit_card.cc_click_to_pay_tot_nr</t>
  </si>
  <si>
    <t>cc_click_to_pay_tot_nr</t>
  </si>
  <si>
    <t>Quantidade de cadastros no Click to Pay</t>
  </si>
  <si>
    <t>O "Click to Pay" é uma solução de pagamento online que oferece uma experiência simplificada e segura. Com essa funcionalidade, os clientes podem fazer compras na internet com apenas alguns cliques, sem precisar inserir repetidamente informações de pagamento, como os números de cartão de crédito e endereço de entrega. O serviço utiliza tecnologia avançada de tokenização e autenticação para proteger as transações o que garante segurança.</t>
  </si>
  <si>
    <t>credit_card_click_to_pay_total_number</t>
  </si>
  <si>
    <t>_santanderamerica.contract_cus.credit_card.cc_istlmt_registration_lst_dte</t>
  </si>
  <si>
    <t>cc_istlmt_registration_lst_dte</t>
  </si>
  <si>
    <t>Data da última contratação de parcelamento de fatura</t>
  </si>
  <si>
    <t>Data mais recente de contratação de parcelamento de fatura</t>
  </si>
  <si>
    <t>credit_card_installment_registration_last_date</t>
  </si>
  <si>
    <t>_santanderamerica.contract_cus.credit_card.credit_card_fee_exception_reason</t>
  </si>
  <si>
    <t>credit_card_fee_exception_reason</t>
  </si>
  <si>
    <t>Credit Card Fee Exception Reason</t>
  </si>
  <si>
    <t>Porcentagem, motivo e subproduto da isenção aprovada para o cartão de crédito</t>
  </si>
  <si>
    <t>Identificar clientes com isenção da anuidade do cartão para oferta diferenciada</t>
  </si>
  <si>
    <t>INVEST
100 FOPA 1355
100 FOPA 1356</t>
  </si>
  <si>
    <t>_santanderamerica.contract_cus.deposit_prize_linked.deposit_prize_linked_cancellation_date</t>
  </si>
  <si>
    <t>deposit_prize_linked_cancellation_date</t>
  </si>
  <si>
    <t>Data de cancelamento mais recente de um contrato de capitalização</t>
  </si>
  <si>
    <t>Identificar um cancelamento recente do produto para realizar uma reoferta</t>
  </si>
  <si>
    <t>06/30/2024
09/30/2024
07/31/2024</t>
  </si>
  <si>
    <t>g_stbr_c360.posi_movi_capz</t>
  </si>
  <si>
    <t>dt_ulti_canc</t>
  </si>
  <si>
    <t>_santanderamerica.contract_cus.deposit_prize_linked.deposit_prize_linked_expiry_date</t>
  </si>
  <si>
    <t>deposit_prize_linked_expiry_date</t>
  </si>
  <si>
    <t>Data de vencimento mais recente de capitalização</t>
  </si>
  <si>
    <t>Identificar um contrato à vencer para realizar uma reoferta</t>
  </si>
  <si>
    <t>08/07/2028
09/10/2029
09/03/2029</t>
  </si>
  <si>
    <t>dt_ulti_venc</t>
  </si>
  <si>
    <t>_santanderamerica.contract_cus.deposit_prize_linked.deposit_prize_linked_last_opening_date</t>
  </si>
  <si>
    <t>deposit_prize_linked_last_opening_date</t>
  </si>
  <si>
    <t>Data mais recente de contratação de capitalização</t>
  </si>
  <si>
    <t>Excluir clientes que contrataram recentemente uma capitalização de uma seleção de público</t>
  </si>
  <si>
    <t>08/04/2024
09/01/2024
09/29/2024</t>
  </si>
  <si>
    <t xml:space="preserve">g_stbr_c360.cntr_prop_prod_psse </t>
  </si>
  <si>
    <t>qt_temp_mini_cntr_capz</t>
  </si>
  <si>
    <t>_santanderamerica.contract_cus.deposit_prize_linked.deposit_prize_linked_open_total_number</t>
  </si>
  <si>
    <t>deposit_prize_linked_open_total_number</t>
  </si>
  <si>
    <t>Quantidade de contratos ativos de capitalização</t>
  </si>
  <si>
    <t>Segmentação de clientes com um ou mais contratos</t>
  </si>
  <si>
    <t>qt_cntr</t>
  </si>
  <si>
    <t>_santanderamerica.contract_cus.fxdtm.fxdtm_lst_ovd_expy_dte</t>
  </si>
  <si>
    <t>fxdtm_lst_ovd_expy_dte</t>
  </si>
  <si>
    <t>Data de último investimento vencido</t>
  </si>
  <si>
    <t>Data passada do vencimento mais recente de investimentos</t>
  </si>
  <si>
    <t>2025-03-10
2025-03-06
9999-12-31</t>
  </si>
  <si>
    <t>dt_ulti_inve_venc</t>
  </si>
  <si>
    <t>g_stbr_c360.posi_movi_titu_rf_emis_exte
g_stbr_c360.posi_movi_titu_rf_emis_sntd
g_stbr_c360.posi_movi_titu_crra</t>
  </si>
  <si>
    <t>SELECT    nr_cpf_cnpj, 
            MAX(dt_ulti_inve_venc) AS dt_ulti_inve_venc
  FROM      (
    SELECT  nr_cpf_cnpj, 
            dt_ulti_inve_venc 
    from    g_stbr_c360.posi_movi_titu_crra 
    WHERE   dt_refe = (SELECT max(dt_refe) from g_stbr_c360.posi_movi_titu_crra)
    UNION ALL
    SELECT  nr_cpf_cnpj, 
            dt_ulti_inve_venc 
    from    g_stbr_c360.posi_movi_titu_rf_emis_sntd 
    WHERE   dt_refe = (SELECT max(dt_refe) from g_stbr_c360.posi_movi_titu_rf_emis_sntd)
    UNION ALL
    SELECT  nr_cpf_cnpj, 
            dt_ulti_inve_venc 
    from    g_stbr_c360.posi_movi_titu_rf_emis_exte 
    WHERE   dt_refe = (SELECT max(dt_refe) from g_stbr_c360.posi_movi_titu_rf_emis_exte)
  ) GROUP BY ALL</t>
  </si>
  <si>
    <t>_santanderamerica.contract_cus.fxdtm.fxdtm_next_expy_dte</t>
  </si>
  <si>
    <t>fxdtm_next_expy_dte</t>
  </si>
  <si>
    <t>fixed_term_next_expiry_date</t>
  </si>
  <si>
    <t>Data futura de vencimento do investimento mais próxima de hoje</t>
  </si>
  <si>
    <t>Identificar clientes com investimentos à vencer</t>
  </si>
  <si>
    <t>05/15/2025, 3:00 AM
03/01/2025, 3:00 AM
08/15/2026, 3:00 AM</t>
  </si>
  <si>
    <t>g_stbr_c360.posi_movi_titu_crra, g_stbr_c360.posi_movi_titu_rf_emis_sntd, 
g_stbr_c360.posi_movi_titu_rf_emis_exte</t>
  </si>
  <si>
    <t>dt_prox_inve_venc</t>
  </si>
  <si>
    <t>select
      nr_cpf_cnpj,
      min(dt_prox_inve_venc) as dt_prox_inve_venc
    from
      (
        select
          nr_cpf_cnpj,
          dt_prox_inve_venc
        from
          g_stbr_c360.posi_movi_titu_crra
        where
          dt_refe = (select max(dt_refe) from g_stbr_c360.posi_movi_titu_crra)
        union all
        select
          nr_cpf_cnpj,
          dt_prox_inve_venc
        from
          g_stbr_c360.posi_movi_titu_rf_emis_sntd
        where
          dt_refe = (select max(dt_refe) from g_stbr_c360.posi_movi_titu_rf_emis_sntd)
        union all
        select
          nr_cpf_cnpj,
          dt_prox_inve_venc
        from
          g_stbr_c360.posi_movi_titu_rf_emis_exte
        where
          dt_refe = (select max(dt_refe) from g_stbr_c360.posi_movi_titu_rf_emis_exte)
      )
    group by
      all</t>
  </si>
  <si>
    <t>_santanderamerica.contract_cus.ivtmt.next_expy_prd_name</t>
  </si>
  <si>
    <t>next_expy_prd_name</t>
  </si>
  <si>
    <t>Nome do produto de investimento próximo à vencer</t>
  </si>
  <si>
    <t>Nome do produto de investimento próximo à vencer, acompanha a variável 57.</t>
  </si>
  <si>
    <t>CDB
CMP
COE</t>
  </si>
  <si>
    <t>investment_next_expiry_product_name</t>
  </si>
  <si>
    <t>_santanderamerica.contract_cus.ivtmt.nxt_expy_mt</t>
  </si>
  <si>
    <t>nxt_expy_mt</t>
  </si>
  <si>
    <t>Valor do próximo investimento à vencer</t>
  </si>
  <si>
    <t>Valor do próximo investimento à vencer, acompanha a variável 57.</t>
  </si>
  <si>
    <t>1
1.01
1.02</t>
  </si>
  <si>
    <t>investment_next_expiry_amount</t>
  </si>
  <si>
    <t>_santanderamerica.contract_cus.loan.car_registration_lst_dte</t>
  </si>
  <si>
    <t>car_registration_lst_dte</t>
  </si>
  <si>
    <t>Data da última contratação de financiamento auto</t>
  </si>
  <si>
    <t>2025-05-20
2014-06-02
2023-11-29</t>
  </si>
  <si>
    <t>car_loan_registration_last_date</t>
  </si>
  <si>
    <t>_santanderamerica.contract_cus.personal_loan.payroll_available_amount</t>
  </si>
  <si>
    <t>payroll_available_amount</t>
  </si>
  <si>
    <t>Valor da margem de consignado disponível</t>
  </si>
  <si>
    <t>Margem de consignado disponível</t>
  </si>
  <si>
    <t>1
494
1500</t>
  </si>
  <si>
    <t>g_stbr_c360.cntr_prop_prap</t>
  </si>
  <si>
    <t>vl_marg_conn</t>
  </si>
  <si>
    <t>_santanderamerica.contract_cus.personal_loan.payroll_reduction_rate_indicator</t>
  </si>
  <si>
    <t>payroll_reduction_rate_indicator</t>
  </si>
  <si>
    <t>Indicador de taxa reduzida em consignado</t>
  </si>
  <si>
    <t>Identifica clientes que possuem redução de taxa de consignado</t>
  </si>
  <si>
    <t>_santanderamerica.contract_cus.personal_loan.personal_loan_agreement_status</t>
  </si>
  <si>
    <t>personal_loan_agreement_status</t>
  </si>
  <si>
    <t>Personal Loan Agreement Status</t>
  </si>
  <si>
    <t>Consignado | Convênio - Status</t>
  </si>
  <si>
    <t>Status do convênio consignado</t>
  </si>
  <si>
    <t>A
B</t>
  </si>
  <si>
    <t>cd_stat_conv_conn</t>
  </si>
  <si>
    <t>_santanderamerica.contract_cus.personal_loan.personal_loan_interest_reduction_rate_indicator</t>
  </si>
  <si>
    <t>personal_loan_interest_reduction_rate_indicator</t>
  </si>
  <si>
    <t>Indicador de Redução de Taxa de CP</t>
  </si>
  <si>
    <t>Identifica clientes que possuem redução de taxa de CP</t>
  </si>
  <si>
    <t>_santanderamerica.contract_cus.personal_loan.pln_pyrll_collct_registration_dte</t>
  </si>
  <si>
    <t>pln_pyrll_collct_registration_dte</t>
  </si>
  <si>
    <t>Data de entrada do convênio de consignado</t>
  </si>
  <si>
    <t>Identificar clientes que fazem parte de novos convênios de consginado</t>
  </si>
  <si>
    <t>06/02/2015
04/07/2015
08/17/2015</t>
  </si>
  <si>
    <t>dt_incl_conv_conn</t>
  </si>
  <si>
    <t>_santanderamerica.contract_cus.personal_loan.pln_pyrll_type</t>
  </si>
  <si>
    <t>pln_pyrll_type</t>
  </si>
  <si>
    <t>Tipo de convênio consignado</t>
  </si>
  <si>
    <t>Indica se o tipo de convênio de consignado associado ao empréstimo é digital, analógico ou semi digital.</t>
  </si>
  <si>
    <t>ANALÓGICO
FULL DIGITAL
SEMI DIGITAL</t>
  </si>
  <si>
    <t>ds_tipo_conv_conn</t>
  </si>
  <si>
    <t>_santanderamerica.contract_cus.personal_loan.pyrll_campaign_desc</t>
  </si>
  <si>
    <t>pyrll_campaign_desc</t>
  </si>
  <si>
    <t>Nome da estratégia de lista atual que o convênio de consignado se enquadra</t>
  </si>
  <si>
    <t>REDUCAO DE TAXA
MUNICIPAL COMPETITIVO
DEMAIS CLIENTES INSS</t>
  </si>
  <si>
    <t>personal_loan_payroll_campaign_description</t>
  </si>
  <si>
    <t>_santanderamerica.contract_cus.psal_cus.ln.hmeln_lst_dte</t>
  </si>
  <si>
    <t>hmeln_lst_dte</t>
  </si>
  <si>
    <t>Data da ultima proposta em aberto de crédito USECASA</t>
  </si>
  <si>
    <t>Uma proposta é a abertura do processo de contratação, como são necessários muitos documentos para efetivação do contrato primeiro é aberta uma proposta e depois é fechado o contrato.</t>
  </si>
  <si>
    <t>02/25/2025
02/26/2025
02/24/2025</t>
  </si>
  <si>
    <t>home_equity_loan_last_date</t>
  </si>
  <si>
    <t>_santanderamerica.contract_cus.psal_cus.ln.hmln_lst_dte</t>
  </si>
  <si>
    <t>hmln_lst_dte</t>
  </si>
  <si>
    <t>Data da última proposta de financiamento imobiliário</t>
  </si>
  <si>
    <t>02/25/2025
02/26/2025
06/24/2025</t>
  </si>
  <si>
    <t>g_stbr_c360.proposal_cus</t>
  </si>
  <si>
    <t>home_loan_last_date</t>
  </si>
  <si>
    <t>_santanderamerica.contract_det.canc_rsn</t>
  </si>
  <si>
    <t>canc_rsn</t>
  </si>
  <si>
    <t>Motivo de cancelamento do contrato</t>
  </si>
  <si>
    <t>Contrato</t>
  </si>
  <si>
    <t>Consórcio (91);</t>
  </si>
  <si>
    <t>DESINTERESSE C/DEVOL
INADIMPLENCIA - AUTOMATICO
INADIMPLENCIA TRES PARCELA</t>
  </si>
  <si>
    <t>g_stbr_c360.contract_loan_consortium_det</t>
  </si>
  <si>
    <t>cancel_reason</t>
  </si>
  <si>
    <t>_santanderamerica.contract_det.contract_id</t>
  </si>
  <si>
    <t>contract_id</t>
  </si>
  <si>
    <t>Contract Id</t>
  </si>
  <si>
    <t>Código identificador do contrato</t>
  </si>
  <si>
    <t>Para identificar contratos tombados Olé, filtrar o contract_id que inicia com o valor '90'.</t>
  </si>
  <si>
    <t>Helps e Combos (HS);
Crédito Imobiliário e UseCasa (23);
Consórcio (91);
Seguros (56/57);
Conta Corrente (22);
Crédito Pessoal e Consignado (32);
Cartões de Crédito e Débito (66);</t>
  </si>
  <si>
    <t>2490000010162515
6600007260803477
6600004165903893</t>
  </si>
  <si>
    <t>91: g_stbr_c360.contract_loan_consortium_det
Outros: VISÃO CONTRATO</t>
  </si>
  <si>
    <t>_santanderamerica.contract_det.cr_sta_det.code</t>
  </si>
  <si>
    <t>code</t>
  </si>
  <si>
    <t>Código de bloqueio do cartão</t>
  </si>
  <si>
    <t>Código de bloqueio do cartão, um cartão pode ter mais de um bloqueio</t>
  </si>
  <si>
    <t>Cartões (66);</t>
  </si>
  <si>
    <t>63
57
49</t>
  </si>
  <si>
    <t>g_stbr_c360.contract_card_det</t>
  </si>
  <si>
    <t>status_code</t>
  </si>
  <si>
    <t>_santanderamerica.contract_det.expiry_date</t>
  </si>
  <si>
    <t>expiry_date</t>
  </si>
  <si>
    <t>Expiry Date</t>
  </si>
  <si>
    <t>Data de vencimento do contrato</t>
  </si>
  <si>
    <t>Identificar clientes com o contrato vencendo para realizar uma reoferta</t>
  </si>
  <si>
    <t>Helps e Combos (HS);
Seguros (56/57);
Crédito Pessoal (32);</t>
  </si>
  <si>
    <t>Sat Feb 08 2031 03:00:00 GMT-0300 (Horário Padrão de Brasília)
Fri Mar 08 2030 03:00:00 GMT-0300 (Horário Padrão de Brasília)</t>
  </si>
  <si>
    <t>HS: g_stbr_c360.contract_insurance_assistance_det
32: g_stbr_c360.contract_loan_det
Outros: VISÃO CONTRATO</t>
  </si>
  <si>
    <t>_santanderamerica.contract_det.fe.fe_istlmt_pymt_bll_rate</t>
  </si>
  <si>
    <t>fe_istlmt_pymt_bll_rate</t>
  </si>
  <si>
    <t>Taxa do parcelamento de boletos</t>
  </si>
  <si>
    <t>Taxa aplicada ao cliente quando é realizada um parcelamento de boletos</t>
  </si>
  <si>
    <t>Cartões de Crédito (66);</t>
  </si>
  <si>
    <t>3.49
3.29
7.85</t>
  </si>
  <si>
    <t>fee_installment_payment_bill_rate</t>
  </si>
  <si>
    <t>_santanderamerica.contract_det.fe.fe_istlmt_pymt_intl_rate</t>
  </si>
  <si>
    <t>fe_istlmt_pymt_intl_rate</t>
  </si>
  <si>
    <t>Taxa do parcelamento de compras internacionais</t>
  </si>
  <si>
    <t>Taxa aplicada ao cliente quando é realizada um parcelamento de compras internacionais</t>
  </si>
  <si>
    <t>8.09
6.89
3.49</t>
  </si>
  <si>
    <t>fee_installment_payment_international_rate</t>
  </si>
  <si>
    <t>_santanderamerica.contract_det.fe.fe_istlmt_pymt_isrd_rate</t>
  </si>
  <si>
    <t>fe_istlmt_pymt_isrd_rate</t>
  </si>
  <si>
    <t>Taxa de parcelamento de fatura com seguro</t>
  </si>
  <si>
    <t>Taxa aplicada ao cliente quando é realizada um parcelamento de fatura</t>
  </si>
  <si>
    <t>13.19
15.59
9.99</t>
  </si>
  <si>
    <t>fee_installment_plan_insured_rate</t>
  </si>
  <si>
    <t>_santanderamerica.contract_det.fe.fe_istlmt_pymt_microcredit_rate</t>
  </si>
  <si>
    <t>fe_istlmt_pymt_microcredit_rate</t>
  </si>
  <si>
    <t>Taxa de supercrédito</t>
  </si>
  <si>
    <t>Taxa aplicada ao cliente quando é realizada um supercrédito</t>
  </si>
  <si>
    <t>fee_installment_payment_microcredit_rate</t>
  </si>
  <si>
    <t>_santanderamerica.contract_det.fe.fe_istlmt_pymt_nat_rate</t>
  </si>
  <si>
    <t>fe_istlmt_pymt_nat_rate</t>
  </si>
  <si>
    <t>Taxa do parcelamento de compras nacionais</t>
  </si>
  <si>
    <t>Taxa aplicada ao cliente quando é realizada um parcelamento de compras nacionais</t>
  </si>
  <si>
    <t>fee_installment_payment_national_rate</t>
  </si>
  <si>
    <t>_santanderamerica.contract_det.initial_amount</t>
  </si>
  <si>
    <t>initial_amount</t>
  </si>
  <si>
    <t>Product Initial Amount</t>
  </si>
  <si>
    <t>Valor do contrato</t>
  </si>
  <si>
    <t>Trazer o valor do contrato no samtander</t>
  </si>
  <si>
    <t>Helps e Combos (HS);
Crédito Imobiliário e UseCasa (23);
Consórcio (91);
Crédito Pessoal e Consignado (32);</t>
  </si>
  <si>
    <t>0,3090
0,8240
3090</t>
  </si>
  <si>
    <t>HS: g_stbr_c360.contract_insurance_assistance_det
91: g_stbr_c360.contract_loan_consortium_det
Outros: VISÃO CONTRATO</t>
  </si>
  <si>
    <t>Initial Amount</t>
  </si>
  <si>
    <t>Capital de Giro (30); 
Consórcio (91);
Crédito Imobiliário (23);</t>
  </si>
  <si>
    <t>26066.22
49489.5
4732.87</t>
  </si>
  <si>
    <t>g_stbr_c360.contract_loan_det
g_stbr_c360.contract_loan_consortium_det
g_stbr_c360.contract_mortgage_det</t>
  </si>
  <si>
    <t>_santanderamerica.contract_det.istlmt_mt</t>
  </si>
  <si>
    <t>istlmt_mt</t>
  </si>
  <si>
    <t>Valor da parcela do contrato</t>
  </si>
  <si>
    <t>1144.78
803.63
383.45</t>
  </si>
  <si>
    <t>tenor_amount</t>
  </si>
  <si>
    <t>_santanderamerica.contract_det.ivtmt_sec_guar_mt</t>
  </si>
  <si>
    <t>ivtmt_sec_guar_mt</t>
  </si>
  <si>
    <t>Valor total da garantia de CP Investidor</t>
  </si>
  <si>
    <t>Crédito Pessoal (32);</t>
  </si>
  <si>
    <t>110000.00
3500.00
2650.00</t>
  </si>
  <si>
    <t>g_stbr_c360.contract_loan_det</t>
  </si>
  <si>
    <t>personal_loan_investment_secured_guarantee_amount</t>
  </si>
  <si>
    <t>_santanderamerica.contract_det.last_renewal_date</t>
  </si>
  <si>
    <t>last_renewal_date</t>
  </si>
  <si>
    <t>Last Renewal Date</t>
  </si>
  <si>
    <t>Data de renovação de contrato</t>
  </si>
  <si>
    <t>Conta Corrente (22);
Crédito Pessoal e Consignado (32);</t>
  </si>
  <si>
    <t>Fri Dec 31 9999 03:00:00 GMT-0300 (Horário Padrão de Brasília),Fri Nov 08 2024 03:00:00 GMT-0300 (Horário Padrão de Brasília)
Fri Nov 08 2024 03:00:00 GMT-0300 (Horário Padrão de Brasília),Fri Dec 31 9999 03:00:00 GMT-0300 (Horário Padrão de Brasília)
Fri Nov 08 2024 03:00:00 GMT-0300 (Horário Padrão de Brasília),Fri Nov 08 2024 03:00:00 GMT-0300 (Horário Padrão de Brasília),Fri Nov 08 2024 03:00:00 GMT-0300 (Horário Padrão de Brasília)</t>
  </si>
  <si>
    <t>VISÃO CONTRATO</t>
  </si>
  <si>
    <t>_santanderamerica.contract_det.limit_amount</t>
  </si>
  <si>
    <t>limit_amount</t>
  </si>
  <si>
    <t>Purchase Limit Amount</t>
  </si>
  <si>
    <t>Valor do limite implementado no cartão de crédito</t>
  </si>
  <si>
    <t>Segmentação de cliente por limite</t>
  </si>
  <si>
    <t>Cartões de Crédito e Débito (66)</t>
  </si>
  <si>
    <t>0,0,250
0,250,0
250,0,0</t>
  </si>
  <si>
    <t>_santanderamerica.contract_det.pan_shrt_cde</t>
  </si>
  <si>
    <t>pan_shrt_cde</t>
  </si>
  <si>
    <t>Número dos quatro dígitos finais do cartão de crédito</t>
  </si>
  <si>
    <t>Traz os quatro últimos dígitos do cartão, ou dos cartões, do cliente.</t>
  </si>
  <si>
    <t xml:space="preserve">Cartões de Crédito e Débito (66); </t>
  </si>
  <si>
    <t>5720
5801
1769</t>
  </si>
  <si>
    <t>pan_short_code</t>
  </si>
  <si>
    <t>_santanderamerica.contract_det.postran_positions_det.bl_tnr_nr</t>
  </si>
  <si>
    <t>bl_tnr_nr</t>
  </si>
  <si>
    <t>Quantidade de parcelas não pagas do contrato</t>
  </si>
  <si>
    <t>Crédito Pessoal (32);
Consórcio (91);</t>
  </si>
  <si>
    <t>10
9
5</t>
  </si>
  <si>
    <t>32: g_stbr_c360.contract_loan_det
91: g_stbr_c360.contract_loan_consortium_det</t>
  </si>
  <si>
    <t>balance_tenor_number</t>
  </si>
  <si>
    <t>_santanderamerica.contract_det.postran_positions_det.consortium.delivery_dte</t>
  </si>
  <si>
    <t>delivery_dte</t>
  </si>
  <si>
    <t>Data da entrega do bem de consórcio</t>
  </si>
  <si>
    <t>2024-09-18
2024-06-12
2024-06-04</t>
  </si>
  <si>
    <t>9999-12-31
N/A</t>
  </si>
  <si>
    <t>consortium_delivery_date</t>
  </si>
  <si>
    <t>_santanderamerica.contract_det.postran_positions_det.consortium.win_dte</t>
  </si>
  <si>
    <t>win_dte</t>
  </si>
  <si>
    <t>Data da última contemplação (risco aprovado) de consórcio</t>
  </si>
  <si>
    <t>2025-04-01
2025-04-06
2025-04-05</t>
  </si>
  <si>
    <t>consortium_win_date</t>
  </si>
  <si>
    <t>_santanderamerica.contract_det.postran_positions_det.consortium.win_sta</t>
  </si>
  <si>
    <t>win_sta</t>
  </si>
  <si>
    <t>Status da contemplação do contrato</t>
  </si>
  <si>
    <t>NÃO CONTEMPLADO
CONTEMPLADO</t>
  </si>
  <si>
    <t>consortium_win_status</t>
  </si>
  <si>
    <t>_santanderamerica.contract_det.postran_positions_det.consortium.win_type</t>
  </si>
  <si>
    <t>win_type</t>
  </si>
  <si>
    <t>Tipo de contemplação do contrato</t>
  </si>
  <si>
    <t>CONTEMPLADO POR LANCE
CONTEMPLADO POR SORTEIO
NÃO CONTEMPLADO</t>
  </si>
  <si>
    <t>consortium_win_type</t>
  </si>
  <si>
    <t>_santanderamerica.contract_det.postran_positions_det.credit_card_brand_description</t>
  </si>
  <si>
    <t>credit_card_brand_description</t>
  </si>
  <si>
    <t>Bandeira do cartão</t>
  </si>
  <si>
    <t>Segmentação de ofertas de beneficios do cartão</t>
  </si>
  <si>
    <t>MasterCard
Visa
N/A</t>
  </si>
  <si>
    <t>_santanderamerica.contract_det.postran_positions_det.delinquency_days_number</t>
  </si>
  <si>
    <t>delinquency_days_number</t>
  </si>
  <si>
    <t>Delinquency Days Number</t>
  </si>
  <si>
    <t>Quantidade de dias de atraso da fatura do cartão</t>
  </si>
  <si>
    <t>Identificar contratos de cartões em atraso</t>
  </si>
  <si>
    <t>0,0,0,8
8,0,0,0
7</t>
  </si>
  <si>
    <t>_santanderamerica.contract_det.postran_positions_det.feature.highest_uniq_spn_dt</t>
  </si>
  <si>
    <t>highest_uniq_spn_dt</t>
  </si>
  <si>
    <t>highest uniq spn dt</t>
  </si>
  <si>
    <t>Data do maior gasto à vista desde o último corte da fatura (olha só 10 dias para trás)</t>
  </si>
  <si>
    <t>Data do maior gasto, a partir do último corte da fatura</t>
  </si>
  <si>
    <t>NULL
12/31/9999
01/01/1900</t>
  </si>
  <si>
    <t>CONTRATO</t>
  </si>
  <si>
    <t>_santanderamerica.contract_det.postran_positions_det.feature.highest_uniq_spn_lst_dys_lim_pct</t>
  </si>
  <si>
    <t>highest_uniq_spn_lst_dys_lim_pct</t>
  </si>
  <si>
    <t>highest uniq spn lst dys lim pct</t>
  </si>
  <si>
    <t>% comprometido do limite do maior gasto à vista desde o último corte da fatura (olha só 10 dias para trás)</t>
  </si>
  <si>
    <t>% representante do limite do maior valor de gasto, a partir do último corte da fatura</t>
  </si>
  <si>
    <t>0.3
0.02
0.5</t>
  </si>
  <si>
    <t>_santanderamerica.contract_det.postran_positions_det.feature.highest_uniq_spn_lst_dys_mt</t>
  </si>
  <si>
    <t>highest_uniq_spn_lst_dys_mt</t>
  </si>
  <si>
    <t>highest uniq spn lst dys mt</t>
  </si>
  <si>
    <t>Valor do maior gasto à vista desde o último corte da fatura (olha só 10 dias para trás)</t>
  </si>
  <si>
    <t>Maior valor de gasto, a partir do último corte da fatura</t>
  </si>
  <si>
    <t>500
40000
1070</t>
  </si>
  <si>
    <t>_santanderamerica.contract_det.postran_positions_det.feature.purchase_highest_current_month_amount</t>
  </si>
  <si>
    <t>purchase_highest_current_month_amount</t>
  </si>
  <si>
    <t>Purchase Highest Current Month Amount</t>
  </si>
  <si>
    <t>Máximo valor de compra no último mês, na visão contrato</t>
  </si>
  <si>
    <t>Verificar clientes que realizaram compras de alto valor para oferecer parcelamento</t>
  </si>
  <si>
    <t>150
20
0,0,1000</t>
  </si>
  <si>
    <t>_santanderamerica.contract_det.postran_positions_det.feature.stmt_sttmt_l3m_tot_mt</t>
  </si>
  <si>
    <t>stmt_sttmt_l3m_tot_mt</t>
  </si>
  <si>
    <t>stmt sttmt l3m tot mt</t>
  </si>
  <si>
    <t>Valor da fatura nos últimos 3 meses cartão</t>
  </si>
  <si>
    <t>Valor médio da fatura fechada dos últimos 3 meses</t>
  </si>
  <si>
    <t>100
15000
60000</t>
  </si>
  <si>
    <t>_santanderamerica.contract_det.postran_positions_det.first_transaction_date</t>
  </si>
  <si>
    <t>first_transaction_date</t>
  </si>
  <si>
    <t>Data do primeiro uso do cartão</t>
  </si>
  <si>
    <t>Idntificar quando o cliente fez a ativação do cartão</t>
  </si>
  <si>
    <t>Mon Aug 31 2020 00:00:00 GMT-0300 (Horário Padrão de Brasília)
Fri Dec 31 9999 00:00:00 GMT-0300 (Horário Padrão de Brasília),Sat Aug 29 2020 00:00:00 GMT-0300 (Horário Padrão de Brasília)
Sat Aug 29 2020 00:00:00 GMT-0300 (Horário Padrão de Brasília),Fri Dec 31 9999 00:00:00 GMT-0300 (Horário Padrão de Brasília)</t>
  </si>
  <si>
    <t>_santanderamerica.contract_det.postran_positions_det.foreign_use_enabled_last_date</t>
  </si>
  <si>
    <t>foreign_use_enabled_last_date</t>
  </si>
  <si>
    <t>Foreign Use Enabled Last Date</t>
  </si>
  <si>
    <t>Data mais recente para habiltação do cartão para uso no exterior</t>
  </si>
  <si>
    <t>Identificar clientes que farão gastos internacionais para oferecer seguro viagem ou câmbio</t>
  </si>
  <si>
    <t>Fri Mar 01 2019 00:00:00 GMT-0300 (Horário Padrão de Brasília)
Thu Nov 14 2024 00:00:00 GMT-0300 (Horário Padrão de Brasília)
Thu Aug 01 2024 00:00:00 GMT-0300 (Horário Padrão de Brasília),Fri Dec 31 9999 00:00:00 GMT-0300 (Horário Padrão de Brasília)</t>
  </si>
  <si>
    <t>_santanderamerica.contract_det.postran_positions_det.lim_used_pct</t>
  </si>
  <si>
    <t>lim_used_pct</t>
  </si>
  <si>
    <t>lim used pct</t>
  </si>
  <si>
    <t>% de limite comprometido da fatura em aberto</t>
  </si>
  <si>
    <t>% do limite comprometido do cartão, considerando a fatura em aberto (não paga)</t>
  </si>
  <si>
    <t>_santanderamerica.contract_det.postran_positions_det.overlim_available_mt</t>
  </si>
  <si>
    <t>overlim_available_mt</t>
  </si>
  <si>
    <t>Valor disponível de overlimit do cartão</t>
  </si>
  <si>
    <t>Cartão de Crédito e Débito (66);</t>
  </si>
  <si>
    <t>overlimit_available_amount</t>
  </si>
  <si>
    <t>_santanderamerica.contract_det.postran_positions_det.statement.first_payment_installment_plan_amount</t>
  </si>
  <si>
    <t>first_payment_installment_plan_amount</t>
  </si>
  <si>
    <t>First Payment Installment Plan Amount</t>
  </si>
  <si>
    <t>Valor de entrada para parcelamento de fatura</t>
  </si>
  <si>
    <t>Identificar clientes que possuem valor de entrada para parcelamento de fatura</t>
  </si>
  <si>
    <t>10
7.5
0</t>
  </si>
  <si>
    <t>-99
0</t>
  </si>
  <si>
    <t>_santanderamerica.contract_det.postran_positions_det.statement.payment_last_month_amount</t>
  </si>
  <si>
    <t>payment_last_month_amount</t>
  </si>
  <si>
    <t>Payment Last Month Amount</t>
  </si>
  <si>
    <t>Valor fatura paga cartão</t>
  </si>
  <si>
    <t>Valor pago da última fatura fechada  do cartão (após o corte)</t>
  </si>
  <si>
    <t>_santanderamerica.contract_det.postran_positions_det.statement.pymt_sta</t>
  </si>
  <si>
    <t>pymt_sta</t>
  </si>
  <si>
    <t>Status do pagamento mais recente do contrato</t>
  </si>
  <si>
    <t>EM DIA
SUSPENSO
EM ATRASO</t>
  </si>
  <si>
    <t>statement_payment_status</t>
  </si>
  <si>
    <t>_santanderamerica.contract_det.postran_positions_det.statement.settlement_date</t>
  </si>
  <si>
    <t>statement.settlement_date</t>
  </si>
  <si>
    <t>Data do corte da fatura vigente do cartão</t>
  </si>
  <si>
    <t>06/13/2025
06/10/2025
07/01/2025</t>
  </si>
  <si>
    <t>_santanderamerica.contract_det.postran_positions_det.statement.settlement_due_date</t>
  </si>
  <si>
    <t>settlement_due_date</t>
  </si>
  <si>
    <t>Data de vencimento da fatura vigente do cartão</t>
  </si>
  <si>
    <t>Data de vencimento da fatura do cartão</t>
  </si>
  <si>
    <t>_santanderamerica.contract_det.postran_positions_det.statement.settlement_last_month_amount</t>
  </si>
  <si>
    <t>settlement_last_month_amount</t>
  </si>
  <si>
    <t>Settlement Last Month Amount</t>
  </si>
  <si>
    <t>Valor da fatura cartão</t>
  </si>
  <si>
    <t>Valor da última fatura fechada  do cartão (após o corte)</t>
  </si>
  <si>
    <t>_santanderamerica.contract_det.postran_positions_det.stmt.pymt_istlmt_int_rate</t>
  </si>
  <si>
    <t>pymt_istlmt_int_rate</t>
  </si>
  <si>
    <t>Taxa de parcelamento de fatura sem seguro</t>
  </si>
  <si>
    <t>statement_payment_installment_interest_rate</t>
  </si>
  <si>
    <t>_santanderamerica.contract_det.postran_positions_det.transaction_last_month_indicator</t>
  </si>
  <si>
    <t>transaction_last_month_indicator</t>
  </si>
  <si>
    <t>Indicador de uso do cartão no último mês</t>
  </si>
  <si>
    <t>Segmentar contratos ativos</t>
  </si>
  <si>
    <t>false,false
false,false,false
true</t>
  </si>
  <si>
    <t>_santanderamerica.contract_det.postran_positions_det.txn.lst_dte</t>
  </si>
  <si>
    <t>lst_dte</t>
  </si>
  <si>
    <t>Data da última movimentação do cartão</t>
  </si>
  <si>
    <t>2025-05-28
2025-06-20
2025-07-31</t>
  </si>
  <si>
    <t>transaction_last_date</t>
  </si>
  <si>
    <t>_santanderamerica.contract_det.postran_positions_det.txn.onl_lst_dte</t>
  </si>
  <si>
    <t>onl_lst_dte</t>
  </si>
  <si>
    <t>onl lst dte</t>
  </si>
  <si>
    <t>Última data de uso do cartão online</t>
  </si>
  <si>
    <t>Data mais recente do uso de cartão online. Identificar clientes que usaram o cartão online recentemente.</t>
  </si>
  <si>
    <t>_santanderamerica.contract_det.postran_positions_det.unlock_last_date</t>
  </si>
  <si>
    <t>unlock_last_date</t>
  </si>
  <si>
    <t>Unlock Last Date</t>
  </si>
  <si>
    <t>Data mais recente de desbloqueio do cartão</t>
  </si>
  <si>
    <t>Realizar ofertas de pós venda, elegiblidade básica para comunicações de upgrade e uso do cartão</t>
  </si>
  <si>
    <t>Fri Apr 05 2024 00:00:00 GMT-0300 (Horário Padrão de Brasília)
Fri Jun 07 2024 00:00:00 GMT-0300 (Horário Padrão de Brasília)
Wed May 22 2024 00:00:00 GMT-0300 (Horário Padrão de Brasília)</t>
  </si>
  <si>
    <t>_santanderamerica.contract_det.prch_prlm_mt</t>
  </si>
  <si>
    <t>prch_prlm_mt</t>
  </si>
  <si>
    <t>Novo valor de limite de cartão para clientes elegíveis à comunicação de redução/aumento/bloqueio de limite</t>
  </si>
  <si>
    <t>purchase_prelimit_amount</t>
  </si>
  <si>
    <t>_santanderamerica.contract_det.prch_prlm_type</t>
  </si>
  <si>
    <t>prch_prlm_type</t>
  </si>
  <si>
    <t>Tipo de alteração limite de cartão para clientes elegíveis à comunicação de redução/aumento/bloqueio de limite</t>
  </si>
  <si>
    <t>BLOQUEIO
REDUÇÃO
REDUÇÃO ATRASO</t>
  </si>
  <si>
    <t>purchase_prelimit_type</t>
  </si>
  <si>
    <t>_santanderamerica.contract_det.prd_srvcs_det.pln_pyrll_prtab.against_request_bnk_name</t>
  </si>
  <si>
    <t>against_request_bnk_name</t>
  </si>
  <si>
    <t>Nome da empresa/banco que o cliente solicitou a Portabilidade de consignado contra o Santander</t>
  </si>
  <si>
    <t>Consignado (32);</t>
  </si>
  <si>
    <t xml:space="preserve">CIVIA                         
SICOOB-CRESSEM                
SICREDI OURO VERDE MT         </t>
  </si>
  <si>
    <t>g_stbr_c360.contract_personal_loan_payroll_det</t>
  </si>
  <si>
    <t>personal_loan_payroll_portability_against_request_bank_name</t>
  </si>
  <si>
    <t>_santanderamerica.contract_det.prd_srvcs_det.pln_pyrll_prtab.against_request_dte</t>
  </si>
  <si>
    <t>against_request_dte</t>
  </si>
  <si>
    <t>Data mais recente de pedido de portabilidade contra de consignado</t>
  </si>
  <si>
    <t>personal_loan_payroll_portability_against_request_date</t>
  </si>
  <si>
    <t>_santanderamerica.contract_det.prefe_main_ctrat_flg</t>
  </si>
  <si>
    <t>prefe_main_ctrat_flg</t>
  </si>
  <si>
    <t>prefe main ctrat flg</t>
  </si>
  <si>
    <t>Melhor contrato de Cartões do cliente</t>
  </si>
  <si>
    <t>Priorização dos contratos de cartão de crédito</t>
  </si>
  <si>
    <t>_santanderamerica.contract_det.product_id</t>
  </si>
  <si>
    <t>product_id</t>
  </si>
  <si>
    <t>Product Id</t>
  </si>
  <si>
    <t>Código do produto + código do subproduto</t>
  </si>
  <si>
    <t>Identificar posse ou contratação de algum produto do banco</t>
  </si>
  <si>
    <t>661326
661327
660701</t>
  </si>
  <si>
    <t>_santanderamerica.contract_det.product_type</t>
  </si>
  <si>
    <t>product_type</t>
  </si>
  <si>
    <t>Product Type</t>
  </si>
  <si>
    <t>Descrição da funcionalidade do cartão: crédito ou débito. Cartões múltiplos estão contemplados na funcionalidade crédito.</t>
  </si>
  <si>
    <t>Segmentação de público para ofertas de cartões</t>
  </si>
  <si>
    <t>DÉBITO,DÉBITO
N/A
CRÉDITO</t>
  </si>
  <si>
    <t>_santanderamerica.contract_det.single_crd_mt</t>
  </si>
  <si>
    <t>single_crd_mt</t>
  </si>
  <si>
    <t xml:space="preserve">Valor Limite adormecido cartão único </t>
  </si>
  <si>
    <t>Valor do limite adormecido do cartão único</t>
  </si>
  <si>
    <t>6489.5
1619.20
3165.91</t>
  </si>
  <si>
    <t>_santanderamerica.contract_det.state_description</t>
  </si>
  <si>
    <t>state_description</t>
  </si>
  <si>
    <t xml:space="preserve">Status do contrato </t>
  </si>
  <si>
    <t>Identificar contratos finalizados/quitados ou ativos</t>
  </si>
  <si>
    <t>Helps e Combos (HS);
Crédito Imobiliário e UseCasa (23);
Consórcio (91);
Crédito Pessoal e Consignado (32)</t>
  </si>
  <si>
    <t>LIQUIDADO
N/A,ATIVO
ATIVO,N/A</t>
  </si>
  <si>
    <t>_santanderamerica.contract_det.tenor_number</t>
  </si>
  <si>
    <t>tenor_number</t>
  </si>
  <si>
    <t>Quantidade de parcelas do contrato</t>
  </si>
  <si>
    <t>Segmentar públicospara oferta de CP FGTS</t>
  </si>
  <si>
    <t>Crédito Pessoal (326111;326110;326009;326008;326006;326005;326004;326001;326000;322542;322541;322013;322012;322011;322006;322005;322004;322003;321999;321991;321921;321917;321815;321140;321129;321091;321087;321078;321069;321063;321053;321048;321016;321015;321010);
Consórcio (91);</t>
  </si>
  <si>
    <t>9
6
5</t>
  </si>
  <si>
    <t>VISÃO CONTRATO
g_stbr_c360.contract_loan_consortium_det</t>
  </si>
  <si>
    <t>VISÃO CONTRATO
tenor_number</t>
  </si>
  <si>
    <t>_santanderamerica.contract_det.termination_date</t>
  </si>
  <si>
    <t>termination_date</t>
  </si>
  <si>
    <t>Termination Date</t>
  </si>
  <si>
    <t>Data de término de contrato que não seja cartão</t>
  </si>
  <si>
    <t xml:space="preserve">Identificar contratos finalizados </t>
  </si>
  <si>
    <t>Helps e Combos (HS);
Crédito Imobiliário e UseCasa (23);
Consórcio (91);
Seguros (56/57);
Conta Corrente (22);
Crédito Pessoal e Consignado (32);</t>
  </si>
  <si>
    <t>Identificar contratos finalizados (quitados)</t>
  </si>
  <si>
    <t>Consórcio (91);
Crédito Imobiliário  (23);</t>
  </si>
  <si>
    <t>g_stbr_c360.contract_loan_consortium_det
g_stbr_c360.contract_mortgage_det</t>
  </si>
  <si>
    <t>_santanderamerica.contract_det.upgrd_lst_dte</t>
  </si>
  <si>
    <t>upgrd_lst_dte</t>
  </si>
  <si>
    <t xml:space="preserve">Última data de upgrade de cartão </t>
  </si>
  <si>
    <t xml:space="preserve">Data do último upgrade de cartão do cliente </t>
  </si>
  <si>
    <t>External Information Profile Schema</t>
  </si>
  <si>
    <t>_santanderamerica.credit_bureau_cus.cc.prch_highest_l3m_mt</t>
  </si>
  <si>
    <t>prch_highest_l3m_mt</t>
  </si>
  <si>
    <t>Maior valor de fatura de cartão no mercado (considerando as últimas 3 cargas do BACEN)</t>
  </si>
  <si>
    <t>g_stbr_c360.credit_bureau_cus</t>
  </si>
  <si>
    <t>credit_card_purchase_highest_last_3_months_amount</t>
  </si>
  <si>
    <t>_santanderamerica.credit_bureau_cus.credit_card.purchase_limit_total_amount</t>
  </si>
  <si>
    <t>purchase_limit_total_amount</t>
  </si>
  <si>
    <t>Credit Card Purchase Limit Amount</t>
  </si>
  <si>
    <t>Limite do cartão no mercado/BACEN</t>
  </si>
  <si>
    <t>Ofertar cartão para clientes que possuem limite fora do Santander. Identificar clientes com ofertas fora do banco.</t>
  </si>
  <si>
    <t>1000
500
200</t>
  </si>
  <si>
    <t>g_stbr_c360.posi_movi_bacen_cred_pf</t>
  </si>
  <si>
    <t>vl_limi_nao_utiz_ches, vl_ches_cnta_gara_cred_a_venc_totl, vl_rttv_ccre_a_venc_totl, vl_inte_limi_nao_utiz_ches, vl_inte_ches_cnta_gara_cred_a_venc_totl, vl_inte_rttv_ccre_a_venc_totl</t>
  </si>
  <si>
    <t>_santanderamerica.credit_bureau_cus.credit_card.revolving_total_amount</t>
  </si>
  <si>
    <t>revolving_total_amount</t>
  </si>
  <si>
    <t>Credit Card Revolving Amount</t>
  </si>
  <si>
    <t>Limite rotativo no mercado/BACEN</t>
  </si>
  <si>
    <t>Ofertar crédito para clientes que possuem limite rotativo no mercado</t>
  </si>
  <si>
    <t>553.35
1073.43
831.08</t>
  </si>
  <si>
    <t>g_stbr_c360.posi_movi_bacen_empt_pf</t>
  </si>
  <si>
    <t>vl_cp_cred_a_venc_totl, vl_inte_cp_cred_a_venc_totl</t>
  </si>
  <si>
    <t>_santanderamerica.credit_bureau_cus.hmeln.arre_flg</t>
  </si>
  <si>
    <t>arre_flg</t>
  </si>
  <si>
    <t>Arrears Indicator</t>
  </si>
  <si>
    <t>Posse de crédito imobiliário no mercado</t>
  </si>
  <si>
    <t>Identificar clientes que possuem crédito imobiliário fora do Santander (BACEN)</t>
  </si>
  <si>
    <t>vl_cred_imob_cred_a_venc_totl,vl_inte_cred_imob_cred_a_venc_totl</t>
  </si>
  <si>
    <t>(coalesce(vl_cred_imob_cred_a_venc_totl, 0) - coalesce(vl_inte_cred_imob_cred_a_venc_totl, 0)) &gt; 0</t>
  </si>
  <si>
    <t>_santanderamerica.credit_bureau_cus.mrkt_sha.cc_sant_pct</t>
  </si>
  <si>
    <t>cc_sant_pct</t>
  </si>
  <si>
    <t>Porcentagem de saldo do cartão interno sobre total do mercado (Share of Wallet)</t>
  </si>
  <si>
    <t>Porcentagem de saldo do cartão interno sobre total do mercado (Share of Wallet - SOW)</t>
  </si>
  <si>
    <t>0.00
0.38
018</t>
  </si>
  <si>
    <t>market_share_credit_card_santander_percentage</t>
  </si>
  <si>
    <t>_santanderamerica.credit_bureau_cus.personal_loan.balance_total_amount</t>
  </si>
  <si>
    <t>balance_total_amount</t>
  </si>
  <si>
    <t>Balance Amount</t>
  </si>
  <si>
    <t>Valor contratado de CP no mercado/BACEN</t>
  </si>
  <si>
    <t>Ofertar crédito para clientes que possuem crédito pessoal fora do santander</t>
  </si>
  <si>
    <t>312.18
312.2
312.19</t>
  </si>
  <si>
    <t>vl_conn_cred_a_venc_totl, vl_inte_conn_cred_a_venc_totl</t>
  </si>
  <si>
    <t>_santanderamerica.credit_bureau_cus.personal_loan.payroll_balance_total_amount</t>
  </si>
  <si>
    <t>payroll_balance_total_amount</t>
  </si>
  <si>
    <t>Payroll Balance Amount</t>
  </si>
  <si>
    <t>Valor contratado de consginado no mercado/BACEN</t>
  </si>
  <si>
    <t>Ofertar crédito para clientes que possuem consignado fora do santander</t>
  </si>
  <si>
    <t>0.02
0.01
500</t>
  </si>
  <si>
    <t>vl_limi_nao_utiz_ccre, vl_ccre_cred_a_venc_totl, vl_inte_limi_nao_utiz_ccre, vl_inte_ccre_cred_a_venc_totl</t>
  </si>
  <si>
    <r>
      <rPr>
        <strike/>
        <sz val="11"/>
        <color rgb="FF000000"/>
        <rFont val="Aptos Narrow"/>
        <family val="2"/>
        <scheme val="minor"/>
      </rPr>
      <t xml:space="preserve">_santanderamerica.credit_bureau_cus.stop_balance_maximum_days_number
</t>
    </r>
    <r>
      <rPr>
        <sz val="11"/>
        <color rgb="FF000000"/>
        <rFont val="Aptos Narrow"/>
        <family val="2"/>
        <scheme val="minor"/>
      </rPr>
      <t>_santanderamerica.credit_bureau_cus.bl.stop_max_dys_nr</t>
    </r>
  </si>
  <si>
    <r>
      <rPr>
        <strike/>
        <sz val="11"/>
        <color rgb="FF000000"/>
        <rFont val="Aptos Narrow"/>
        <family val="2"/>
        <scheme val="minor"/>
      </rPr>
      <t>stop_balance_maximum_days_numbe</t>
    </r>
    <r>
      <rPr>
        <sz val="11"/>
        <color rgb="FF000000"/>
        <rFont val="Aptos Narrow"/>
        <family val="2"/>
        <scheme val="minor"/>
      </rPr>
      <t>r
stop_max_dys_nr</t>
    </r>
  </si>
  <si>
    <t>Quantidade de dias de saldo parado fora do Santander</t>
  </si>
  <si>
    <t>Clientes que possuem saldo parado em outras instituições bancárias (Open Finance)</t>
  </si>
  <si>
    <t>65
133
81</t>
  </si>
  <si>
    <t>balance_stop_maximum_days_number</t>
  </si>
  <si>
    <r>
      <rPr>
        <strike/>
        <sz val="11"/>
        <color rgb="FF000000"/>
        <rFont val="Aptos Narrow"/>
        <family val="2"/>
        <scheme val="minor"/>
      </rPr>
      <t xml:space="preserve">_santanderamerica.credit_bureau_cus.stop_balance_total_amount
</t>
    </r>
    <r>
      <rPr>
        <sz val="11"/>
        <color rgb="FF000000"/>
        <rFont val="Aptos Narrow"/>
        <family val="2"/>
        <scheme val="minor"/>
      </rPr>
      <t>_santanderamerica.credit_bureau_cus.bl.stop_tot_mt</t>
    </r>
  </si>
  <si>
    <r>
      <rPr>
        <strike/>
        <sz val="11"/>
        <color rgb="FF000000"/>
        <rFont val="Aptos Narrow"/>
        <family val="2"/>
        <scheme val="minor"/>
      </rPr>
      <t xml:space="preserve">stop_balance_total_amount
</t>
    </r>
    <r>
      <rPr>
        <sz val="11"/>
        <color rgb="FF000000"/>
        <rFont val="Aptos Narrow"/>
        <family val="2"/>
        <scheme val="minor"/>
      </rPr>
      <t>stop_tot_mt</t>
    </r>
  </si>
  <si>
    <t xml:space="preserve">Valor do saldo parado fora do Santander </t>
  </si>
  <si>
    <t>15.5
26.7
12.32</t>
  </si>
  <si>
    <t>balance_stop_total_amount</t>
  </si>
  <si>
    <t>_santanderamerica.credit_card.credit_card_open_total_number</t>
  </si>
  <si>
    <t>credit_card_open_total_number</t>
  </si>
  <si>
    <t>Credit Card Open Total Number</t>
  </si>
  <si>
    <t>Quantidade de cartões de crédito ativos</t>
  </si>
  <si>
    <t>Segmentaçã de público com cartão de crédito</t>
  </si>
  <si>
    <t>b_stbr_pe.pedt008
b_stbr_pe.pedt150</t>
  </si>
  <si>
    <t>pecodpro
pecalpar
peestrel</t>
  </si>
  <si>
    <t>PE150.PETIPDOC='13'
AND
PE150.PECONDOC='P'
AND
PE008.PECODPRO='66'
AND
PE008.PECALPAR='TI'
AND
PE008.PEESTREL='A'</t>
  </si>
  <si>
    <t>_santanderamerica.ctrat_fininfo_cus.grss_incm_l12m_avg_mt</t>
  </si>
  <si>
    <t>grss_incm_l12m_avg_mt</t>
  </si>
  <si>
    <t>Valor de MOB médio dos últimos 12 meses</t>
  </si>
  <si>
    <t>-0.1
-0.09
0.01</t>
  </si>
  <si>
    <t>g_stbr_c360.contract_financialinfo_cus</t>
  </si>
  <si>
    <t>gross_income_last_12_months_average_amount</t>
  </si>
  <si>
    <t>_santanderamerica.customerexperience_categ_det.contact_freq_nr</t>
  </si>
  <si>
    <t>contact_freq_nr</t>
  </si>
  <si>
    <t>Frequência do contato do cliente (MPL)</t>
  </si>
  <si>
    <t>Modelo de categorização dos motivos de ligação do cliente, criado pelo DataLab</t>
  </si>
  <si>
    <t>MPL</t>
  </si>
  <si>
    <t>3
2
1</t>
  </si>
  <si>
    <t>freq</t>
  </si>
  <si>
    <t>select      nr_cpf_cnpj,
            nvl(ds_catg, 'N/A') as ds_catg, -- categoria da ligação
            nvl(ds_suba, 'N/A') as ds_suba, -- subcategoria da ligação
            nvl(freq, 0) as freq, -- quantidade de ligações na última categoria
            nvl(dscr, 'N/A') as dscr, -- período avaliado e canal (chat/ligação)
            nvl(date_add(dt_refe, cast(-rcen as int)), '9999-12-31') as dt_ult_lig,
            u_id -- data da última ligação na categoria
from        s_stbr_drm_nba.cdp_catg
inner join  s_stbr_drm.cdp_pfle_inte 
on          nr_cpf::bigint = NR_CPF_CNPJ::bigint
where       dt_refe = (select max(dt_refe) from s_stbr_drm_nba.cdp_catg where upper(dscr) like '%MPL%' and dt_refe &lt;= date_add(now(),-1))
and         upper(dscr) like '%MPL%'</t>
  </si>
  <si>
    <t>_santanderamerica.customerexperience_categ_det.contact_lst_dte</t>
  </si>
  <si>
    <t>contact_lst_dte</t>
  </si>
  <si>
    <t>Data do contato do cliente (MPL)</t>
  </si>
  <si>
    <t>dt_ult_lig</t>
  </si>
  <si>
    <t>_santanderamerica.customerexperience_categ_det.contact_period_descr</t>
  </si>
  <si>
    <t>contact_period_descr</t>
  </si>
  <si>
    <t>Periodo de avaliação dos contatos do cliente e descrição do canal avaliado (MPL)</t>
  </si>
  <si>
    <t>mpl_chat_90d_pf
mpl_voz_90d_pf</t>
  </si>
  <si>
    <t>dscr</t>
  </si>
  <si>
    <t>_santanderamerica.customerexperience_categ_det.contact_rsn_cat_name</t>
  </si>
  <si>
    <t>contact_rsn_cat_name</t>
  </si>
  <si>
    <t>Categoria do contato do cliente (MPL)</t>
  </si>
  <si>
    <t>emprestimos - credito consignado
cartoes - limite
emprestimos - credito pessoal</t>
  </si>
  <si>
    <t>ds_catg</t>
  </si>
  <si>
    <t>_santanderamerica.customerexperience_categ_det.contact_rsn_subcat_name</t>
  </si>
  <si>
    <t>contact_rsn_subcat_name</t>
  </si>
  <si>
    <t>Subcategoria do contato do cliente (MPL)</t>
  </si>
  <si>
    <t>disponivel
contratacao
desbloqueio/dificuldade de acesso</t>
  </si>
  <si>
    <t>_santanderamerica.customerexperience_cus.issue.deposit_prize_linked_total_number</t>
  </si>
  <si>
    <t>deposit_prize_linked_total_number</t>
  </si>
  <si>
    <t>Deposit Prize-Linked Total Number</t>
  </si>
  <si>
    <t>Quantidade de Reclamações de Capitalização</t>
  </si>
  <si>
    <t>0
1</t>
  </si>
  <si>
    <t>g_stbr_c360.perf_inte_mani</t>
  </si>
  <si>
    <t>in_capz_cocl, in_capz_pend, in_capz_canc</t>
  </si>
  <si>
    <t>select distinct nr_cpf_cnpj from g_stbr_c360.perf_inte_mani
WHERE (IN_CAPZ_COCL = 1 OR IN_CAPZ_PEND = 1 OR IN_CAPZ_CANC = 1)
AND DT_REFE &gt;= DATE(NOW()) - [DEFINIR RANGE]</t>
  </si>
  <si>
    <t>_santanderamerica.customerexperience_cus.survey.nps_last_date</t>
  </si>
  <si>
    <t>nps_last_date</t>
  </si>
  <si>
    <t>Data da última resposta de NPS</t>
  </si>
  <si>
    <t>g_stbr_c360.customerexperience_cus</t>
  </si>
  <si>
    <t>survey_nps_last_date</t>
  </si>
  <si>
    <t>_santanderamerica.customerexperience_cus.survey.nps_last_rate</t>
  </si>
  <si>
    <t>nps_last_rate</t>
  </si>
  <si>
    <t>Valor da útima nota NPS dada pelo cliente</t>
  </si>
  <si>
    <t>10
5
1</t>
  </si>
  <si>
    <t>survey_nps_last_rate</t>
  </si>
  <si>
    <t>_santanderamerica.ext_ent_cus.decl.relest_prop_tot_mt</t>
  </si>
  <si>
    <t>relest_prop_tot_mt</t>
  </si>
  <si>
    <t>Valor total de patrimômio/imóvel urbano que o cliente possui, vindo da B3</t>
  </si>
  <si>
    <t>791146.71
106111
94470</t>
  </si>
  <si>
    <t>g_stbr_c360.external_entities_cus</t>
  </si>
  <si>
    <t>declared_real_estate_properties_total_amount</t>
  </si>
  <si>
    <t>_santanderamerica.ext_ent_cus.decl.relest_prop_tot_nr</t>
  </si>
  <si>
    <t>relest_prop_tot_nr</t>
  </si>
  <si>
    <t>Quantidade total de patrimônio/imóvel urbano que o cliente possui, vindo da base da B3</t>
  </si>
  <si>
    <t>Quantidade total de patrimônio/imóvel urbano que o cliente possui, vindo da base da B3.</t>
  </si>
  <si>
    <t>11
1
2</t>
  </si>
  <si>
    <t>declared_real_estate_properties_total_number</t>
  </si>
  <si>
    <t>_santanderamerica.ext_ent_cus.employment.occupation_regulatory_cat_desc</t>
  </si>
  <si>
    <t>occupation_regulatory_cat_desc</t>
  </si>
  <si>
    <t>Código (sigla) do órgão regulador da profissão do cliente</t>
  </si>
  <si>
    <t>OAB
COREN
CREA</t>
  </si>
  <si>
    <t>employment_occupation_regulatory_category_description</t>
  </si>
  <si>
    <t>_santanderamerica.ext_ent_cus.lyty_rwd_prog.points_tot_nr</t>
  </si>
  <si>
    <t>points_tot_nr</t>
  </si>
  <si>
    <t>Quantidade de pontos esfera acumulados</t>
  </si>
  <si>
    <t>Valor total de pontos que o cliente tem atualmente</t>
  </si>
  <si>
    <t>1196
26779
15121</t>
  </si>
  <si>
    <t>loyalty_rewards_program_points_total_number</t>
  </si>
  <si>
    <t>_santanderamerica.ext_ent_cus.opfin_sys.acc_bl_incrse_lst_dy_tot_mt</t>
  </si>
  <si>
    <t>acc_bl_incrse_lst_dy_tot_mt</t>
  </si>
  <si>
    <t>Valor de incremento de saldo comparando: Saldo em conta em (D-1) e saldo em conta em (D-2) no OpenFinance</t>
  </si>
  <si>
    <t>0.01
-50
100</t>
  </si>
  <si>
    <t>open_finance_system_account_balance_increase_last_day_total_amount</t>
  </si>
  <si>
    <t xml:space="preserve">_santanderamerica.ext_ent_cus.opfin_sys.car_ins_stop_pymt_lst_mth_flg </t>
  </si>
  <si>
    <t xml:space="preserve">car_ins_stop_pymt_lst_mth_flg </t>
  </si>
  <si>
    <t>Ausencia de pagamento de seguro auto, via Open Finance</t>
  </si>
  <si>
    <t>Identifica clientes que pagavam seguro auto e deixaram de pagar nos últimos 2 meses</t>
  </si>
  <si>
    <t>select      nr_cpf_cnpj, 
            true as ausc_pgto_segr_auto
from        s_stbr_drm_nba.catg_prod_tran
where       dt_exec = (select max(dt_exec) from s_stbr_drm_nba.catg_prod_tran where dt_exec &lt; date_sub(date_sub(current_date, 2), 60))
and         ds_suba = 'Seguro Automotivo'
and         cred_debt_tipo = 'DEBITO'
and         tp_pess = 'PF'</t>
  </si>
  <si>
    <t>_santanderamerica.ext_ent_cus.opfin_sys.car_ins_txn_lst_dte</t>
  </si>
  <si>
    <t>car_ins_txn_lst_dte</t>
  </si>
  <si>
    <t>Data do último movimentação de seguro auto no mercado, via Open Finance</t>
  </si>
  <si>
    <t xml:space="preserve"> O dado é calculado a partir do modelo de categorizações, que avalia as transações do cliente e identifica gastos com seguro auto.</t>
  </si>
  <si>
    <t>dt_refe</t>
  </si>
  <si>
    <t>select    distinct 
            nr_cpf_cnpj,
            dt_refe,
            row_number() over(partition by nr_cpf_cnpj order by dt_refe desc) as rn
  from      s_stbr_drm_nba.catg_prod_tran
  where     ds_suba = 'Seguro Automotivo'
  and       tp_pess = 'PF'
  and       cred_debt_tipo = 'DEBITO'</t>
  </si>
  <si>
    <t>_santanderamerica.ext_ent_cus.opfin_sys.car_ln_outstdg_tnr_nr</t>
  </si>
  <si>
    <t>car_ln_outstdg_tnr_nr</t>
  </si>
  <si>
    <t>Quantidade de parcelas à vencer de financiamento auto no mercado, vindo de Open Finance</t>
  </si>
  <si>
    <t>3
4
1</t>
  </si>
  <si>
    <t>open_finance_system_car_loan_outstanding_tenor_number</t>
  </si>
  <si>
    <t>_santanderamerica.ext_ent_cus.opfin_sys.car_ln_ovd_tnr_nr</t>
  </si>
  <si>
    <t>car_ln_ovd_tnr_nr</t>
  </si>
  <si>
    <t>Quantidade de prestações vencidas de financiamento auto no mercado, vindo de open finance</t>
  </si>
  <si>
    <t>open_finance_system_car_loan_overdue_tenor_number</t>
  </si>
  <si>
    <t>_santanderamerica.ext_ent_cus.opfin_sys.car_ln_tnr_nr</t>
  </si>
  <si>
    <t>car_ln_tnr_nr</t>
  </si>
  <si>
    <t>Quantidade total de parcelas de financiamento auto no mercado, vindo de Open Finance</t>
  </si>
  <si>
    <t>Quantidade de parcelas vencidas + à vencer</t>
  </si>
  <si>
    <t>open_finance_system_car_loan_tenor_number</t>
  </si>
  <si>
    <t>_santanderamerica.ext_ent_cus.opfin_sys.cc_highest_lim_bnk_name</t>
  </si>
  <si>
    <t>cc_highest_lim_bnk_name</t>
  </si>
  <si>
    <t>Nome do banco com maior limite de cartão na base do Open Finance</t>
  </si>
  <si>
    <t>Informa o nome do banco em que o cliente que deu consentimento do open finance tem maior limite de crédito.</t>
  </si>
  <si>
    <t>Nubank
Banco Safra S.A
BANCO SOFISA S.A</t>
  </si>
  <si>
    <t>open_finance_system_credit_card_highest_limit_bank_name</t>
  </si>
  <si>
    <t>_santanderamerica.ext_ent_cus.opfin_sys.cc_lim_max_mt</t>
  </si>
  <si>
    <t>cc_lim_max_mt</t>
  </si>
  <si>
    <t>Maior valor de limite entre todos os cartões contratado no mercado, via open finance</t>
  </si>
  <si>
    <t>36607.00
1011.25
45704.10</t>
  </si>
  <si>
    <t>open_finance_system_credit_card_limit_maximum_amount</t>
  </si>
  <si>
    <t>_santanderamerica.ext_ent_cus.opfin_sys.cc_stmt_sttmt_max_mt</t>
  </si>
  <si>
    <t>cc_stmt_sttmt_max_mt</t>
  </si>
  <si>
    <t>Valor máximo da fatura, considerando os últimos 3 meses fechados</t>
  </si>
  <si>
    <t>Valor máximo da fatura, considerando os últimos 3 meses fechados. Dado de mercado (Open Finance).</t>
  </si>
  <si>
    <t>200
400
14.9</t>
  </si>
  <si>
    <t>open_finance_system_credit_card_statement_settlement_market_maximum_amount</t>
  </si>
  <si>
    <t>_santanderamerica.ext_ent_cus.opfin_sys.cr_prot_ins_txn_lst_dte</t>
  </si>
  <si>
    <t>cr_prot_ins_txn_lst_dte</t>
  </si>
  <si>
    <t>Data do último movimentação de seguro cartão protegido no mercado, via Open Finance</t>
  </si>
  <si>
    <t xml:space="preserve"> O dado é calculado a partir do modelo de categorizações, que avalia as transações do cliente e identifica gastos com seguro cartão protegido.</t>
  </si>
  <si>
    <t>select    distinct 
            nr_cpf_cnpj,
            dt_refe,
            row_number() over(partition by nr_cpf_cnpj order by dt_refe desc) as rn
  from      s_stbr_drm_nba.catg_prod_tran
  where     ds_suba = 'Seguro Cartao'
  and       tp_pess = 'PF'
  and       cred_debt_tipo = 'DEBITO'</t>
  </si>
  <si>
    <t>_santanderamerica.ext_ent_cus.opfin_sys.cus_acqrn_txn_lst_dte</t>
  </si>
  <si>
    <t>cus_acqrn_txn_lst_dte</t>
  </si>
  <si>
    <t>Data da última movimentação de credenciamento (adquirência) no mercado, via Open Finance</t>
  </si>
  <si>
    <t>Posse de credenciamento (adquirência) no mercado, via Open Finance</t>
  </si>
  <si>
    <t>with base as (
  SELECT    DISTINCT 
            NR_CPF_CNPJ, 
            DT_REFE, 
            ROW_NUMBER() OVER(PARTITION BY NR_CPF_CNPJ ORDER BY DT_REFE DESC) AS RN
  FROM      s_stbr_drm_nba.CATG_PROD_TRAN
  WHERE     tp_pess = 'PF'
  and       ds_catg = 'adquirencia' 
  and       CRED_DEBT_TIPO = 'CREDITO'
)
select      base.nr_cpf_cnpj,
            nvl(base.dt_refe, '9999-12-31') as PSSE_CRES_MRDO,
            u_id
from        base
inner join  s_stbr_drm.cdp_pfle_idef pess
on          cast(base.nr_cpf_cnpj as bigint) = cast(pess.nr_cpf as bigint)
where       base.rn = 1</t>
  </si>
  <si>
    <t>_santanderamerica.ext_ent_cus.opfin_sys.dep_prz_linked_txn_lst_dte</t>
  </si>
  <si>
    <t>dep_prz_linked_txn_lst_dte</t>
  </si>
  <si>
    <t>Data do último movimentação de capitalização no mercado, via Open Finance</t>
  </si>
  <si>
    <t xml:space="preserve"> O dado é calculado a partir do modelo de categorizações, que avalia as transações do cliente e identifica gastos com capitalização.</t>
  </si>
  <si>
    <t>2025-07-18
2025-08-01
2025-07-21</t>
  </si>
  <si>
    <t>select    distinct 
            nr_cpf_cnpj,
            dt_refe,
            row_number() over(partition by nr_cpf_cnpj order by dt_refe desc) as rn
  from      s_stbr_drm_nba.catg_prod_tran
  where     ds_catg = 'capitalizacao'
  and       tp_pess = 'PF'
  and       cred_debt_tipo = 'DEBITO'</t>
  </si>
  <si>
    <t>_santanderamerica.ext_ent_cus.opfin_sys.fx_lst_co_name</t>
  </si>
  <si>
    <t>fx_lst_co_name</t>
  </si>
  <si>
    <t>Trás o nome da instituição em que houve consentimento de open finance onde houve a última movimentação de cambio no ano (mais recente), seja enviado ou recebido</t>
  </si>
  <si>
    <t>nubank
itau
mercadopago</t>
  </si>
  <si>
    <t>nm_banc_cstm</t>
  </si>
  <si>
    <t xml:space="preserve">
select 
    nr_cpf_cnpj,
    nm_banc_cstm,
    row_number() over(partition by nr_cpf_cnpj order by dt_refe desc) as rn
from 
    s_stbr_dmb_nba.catg_prod_tran
where 
    dt_refe &lt;= date_sub(current_date(), 2)
and 
    ds_catg = 'cambio'
and 
    tp_pess = 'PF'</t>
  </si>
  <si>
    <t>_santanderamerica.ext_ent_cus.opfin_sys.fx_lst_mt</t>
  </si>
  <si>
    <t>fx_lst_mt</t>
  </si>
  <si>
    <t>Valor da última movimentação de cambio no ano (mais recente), seja enviado ou recebido</t>
  </si>
  <si>
    <t>3000
11000
12000</t>
  </si>
  <si>
    <t>vl_tran</t>
  </si>
  <si>
    <t>select    distinct nr_cpf_cnpj, 
          vl_tran, 
          row_number() over(partition by nr_cpf_cnpj order by dt_refe desc) rn
from      s_stbr_drm_nba.catg_prod_tran
where     ds_catg = 'cambio'</t>
  </si>
  <si>
    <t>_santanderamerica.ext_ent_cus.opfin_sys.fx_recd_lst_dte</t>
  </si>
  <si>
    <t>fx_recd_lst_dte</t>
  </si>
  <si>
    <t>Data mais recente do recebimento de valores de operações de câmbio, via Open Finance</t>
  </si>
  <si>
    <t>2025-02-21
2025-03-05
2024-08-30</t>
  </si>
  <si>
    <t>select    distinct 
            nr_cpf_cnpj,
            dt_refe,
            row_number() over(partition by nr_cpf_cnpj order by dt_refe desc) as rn
from      s_stbr_drm_nba.catg_prod_tran
where     ds_catg = 'cambio'
and       tp_pess = 'PF'
and       cred_debt_tipo = 'CREDITO'</t>
  </si>
  <si>
    <t>_santanderamerica.ext_ent_cus.opfin_sys.fx_snt_lst_dte</t>
  </si>
  <si>
    <t>fx_snt_lst_dte</t>
  </si>
  <si>
    <t>Data do último envio de valores de operações de câmbio no mercado (via Open Finance)</t>
  </si>
  <si>
    <t>Identifica clientes que operam câmbio no mercado, via a categorização do Open Finance realizada pelo Datalab.</t>
  </si>
  <si>
    <t>02/01/2025
01/12/2025
12/21/2024</t>
  </si>
  <si>
    <t>SELECT NR_CPF_CNPJ, MAX(dt_refe)
FROM s_stbr_drm_nba.CATG_PROD_TRAN
WHERE DS_CATG = "cambio" AND cred_debt_tipo = "DEBITO"
GROUP BY NR_CPF_CNPJ</t>
  </si>
  <si>
    <t>_santanderamerica.ext_ent_cus.opfin_sys.home_ins_txn_lst_dte</t>
  </si>
  <si>
    <t>home_ins_txn_lst_dte</t>
  </si>
  <si>
    <t>Data do último movimentação de seguro residencial no mercado, via Open Finance</t>
  </si>
  <si>
    <t xml:space="preserve"> O dado é calculado a partir do modelo de categorizações, que avalia as transações do cliente e identifica gastos com seguro residencial.</t>
  </si>
  <si>
    <t>select    distinct 
            nr_cpf_cnpj,
            dt_refe,
            row_number() over(partition by nr_cpf_cnpj order by dt_refe desc) as rn
  from      s_stbr_drm_nba.catg_prod_tran
  where     ds_suba = 'Seguro Residencial'
  and       tp_pess = 'PF'
  and       cred_debt_tipo = 'DEBITO'
)</t>
  </si>
  <si>
    <t>_santanderamerica.ext_ent_cus.opfin_sys.ins_trst_txn_lst_dte</t>
  </si>
  <si>
    <t>ins_trst_txn_lst_dte</t>
  </si>
  <si>
    <t>Data do último movimentação de seguro transações no mercado, via Open Finance</t>
  </si>
  <si>
    <t xml:space="preserve"> O dado é calculado a partir do modelo de categorizações, que avalia as transações do cliente e identifica gastos com seguro transações.</t>
  </si>
  <si>
    <t>select    distinct 
            nr_cpf_cnpj,
            dt_refe,
            row_number() over(partition by nr_cpf_cnpj order by dt_refe desc) as rn
  from      s_stbr_drm_nba.catg_prod_tran
  where     ds_suba = 'Seguro Transacao'
  and       tp_pess = 'PF'
  and       cred_debt_tipo = 'DEBITO'</t>
  </si>
  <si>
    <t>_santanderamerica.ext_ent_cus.opfin_sys.ivtmt_nxt_expy_dte</t>
  </si>
  <si>
    <t>ivtmt_nxt_expy_dte</t>
  </si>
  <si>
    <t>Data do próximo vencimento de investimentos, via Open Finance</t>
  </si>
  <si>
    <t>g_stbr_c360.patr_exte_ofinc_tesr_psse
g_stbr_c360.patr_exte_ofinc_rf_poss</t>
  </si>
  <si>
    <t>dt_venc_prox</t>
  </si>
  <si>
    <t>_santanderamerica.ext_ent_cus.opfin_sys.ivtmt_tot_mt</t>
  </si>
  <si>
    <t>ivtmt_tot_mt</t>
  </si>
  <si>
    <t>Valor total investido na concorrência, via Open Finance</t>
  </si>
  <si>
    <t>Indica clientes que possuem investimentos em outros bancos</t>
  </si>
  <si>
    <t>0.01
0.02
0.03</t>
  </si>
  <si>
    <t>open_finance_system_investment_total_amount</t>
  </si>
  <si>
    <t>_santanderamerica.ext_ent_cus.opfin_sys.lf_ins_lst_trst_dte</t>
  </si>
  <si>
    <t>lf_ins_lst_trst_dte</t>
  </si>
  <si>
    <t>Data da última movimentação de seguro de vida no mercado (via Open Finance)</t>
  </si>
  <si>
    <t>Identifica clientes que possuem seguro de vida no mercado, via a categorização do Open Finance realizada pelo Datalab.</t>
  </si>
  <si>
    <t>WITH BASE_FINAL AS (
    SELECT DISTINCT NR_CPF_CNPJ, DT_REFE, ROW_NUMBER() OVER(PARTITION BY NR_CPF_CNPJ ORDER BY DT_REFE DESC) AS RN
    FROM s_stbr_drm_nba.CATG_PROD_TRAN
    WHERE DS_CATG = 'seguros'
    AND DS_SUBA = 'Seguro de Vida'
)
SELECT DT_REFE, NR_CPF_CNPJ
FROM BASE_FINAL
WHERE RN = 1</t>
  </si>
  <si>
    <t>_santanderamerica.ext_ent_cus.opfin_sys.mortg_outstdg_tnr_nr</t>
  </si>
  <si>
    <t>mortg_outstdg_tnr_nr</t>
  </si>
  <si>
    <t>Quantidade de parcelas à vencer de financiamento imob no mercado, vindo de Open Finance</t>
  </si>
  <si>
    <t>open_finance_system_mortgage_outstanding_tenor_number</t>
  </si>
  <si>
    <t>_santanderamerica.ext_ent_cus.opfin_sys.mortg_ovd_tnr_nr</t>
  </si>
  <si>
    <t>mortg_ovd_tnr_nr</t>
  </si>
  <si>
    <t>Quantidade de prestações vencidas de financiamento imob no mercado, vindo de open finance</t>
  </si>
  <si>
    <t>open_finance_system_mortgage_overdue_tenor_number</t>
  </si>
  <si>
    <t>_santanderamerica.ext_ent_cus.opfin_sys.mortg_tnr_nr</t>
  </si>
  <si>
    <t>mortg_tnr_nr</t>
  </si>
  <si>
    <t>Quantidade total de parcelas de financiamento imob no mercado, vindo de Open Finance</t>
  </si>
  <si>
    <t>open_finance_system_mortgage_tenor_number</t>
  </si>
  <si>
    <t>_santanderamerica.ext_ent_cus.opfin_sys.pln_highest_rate</t>
  </si>
  <si>
    <t>pln_highest_rate</t>
  </si>
  <si>
    <t>Valor da maior taxa contratada de crédito pessoal, via Open Finance</t>
  </si>
  <si>
    <t>0.4
0.5
0.72</t>
  </si>
  <si>
    <t>open_finance_system_personal_loan_highest_rate</t>
  </si>
  <si>
    <t>_santanderamerica.ext_ent_cus.opfin_sys.pln_lowest_rate</t>
  </si>
  <si>
    <t>pln_lowest_rate</t>
  </si>
  <si>
    <t>Valor da menor taxa contratada de crédito pessoal, via Open Finance</t>
  </si>
  <si>
    <t>open_finance_system_personal_loan_lowest_rate</t>
  </si>
  <si>
    <t>_santanderamerica.ext_ent_cus.opfin_sys.pln_pyrll_highest_rate</t>
  </si>
  <si>
    <t>pln_pyrll_highest_rate</t>
  </si>
  <si>
    <t>Valor da maior taxa contratada de consignado, via Open Finance</t>
  </si>
  <si>
    <t>open_finance_system_personal_loan_payroll_highest_rate</t>
  </si>
  <si>
    <t>_santanderamerica.ext_ent_cus.opfin_sys.pln_pyrll_lowest_rate</t>
  </si>
  <si>
    <t>pln_pyrll_lowest_rate</t>
  </si>
  <si>
    <t>Valor da menor taxa de consignado no mercado, via open finance</t>
  </si>
  <si>
    <t>open_finance_system_personal_loan_payroll_lowest_rate</t>
  </si>
  <si>
    <t>_santanderamerica.ext_ent_cus.opfin_sys.pln_pyrll_tot_mt</t>
  </si>
  <si>
    <t>pln_pyrll_tot_mt</t>
  </si>
  <si>
    <t>Valor total de contratos de consignado no mercado, via Open Finance</t>
  </si>
  <si>
    <t>open_finance_system_personal_loan_payroll_total_amount</t>
  </si>
  <si>
    <t>_santanderamerica.ext_ent_cus.opfin_sys.pln_tot_mt</t>
  </si>
  <si>
    <t>pln_tot_mt</t>
  </si>
  <si>
    <t>Valor de crédito pessoal contratado no mercado, via Open Finance</t>
  </si>
  <si>
    <t>1217.00
250.00
28673.35</t>
  </si>
  <si>
    <t>open_finance_system_personal_loan_total_amount</t>
  </si>
  <si>
    <t>_santanderamerica.ext_ent_cus.opfin_sys.pyrll_bnk_descr</t>
  </si>
  <si>
    <t>pyrll_bnk_descr</t>
  </si>
  <si>
    <t>Banco em que o cliente recebe o salário, informação de Open Finance</t>
  </si>
  <si>
    <t>Identifica clientes que recebem salário fora do Santander</t>
  </si>
  <si>
    <t>BANCO BRADESCO S.A.
NU PAGAMENTOS S.A.- INSTITUICAO DE PAGAMENTO
MERCADO PAGO INSTITUICAO DE PAGAMENTO LTDA</t>
  </si>
  <si>
    <t>g_stbr_c360.patr_exte_ofinc_cnta_tran</t>
  </si>
  <si>
    <t>ds_inst_recb_salr</t>
  </si>
  <si>
    <t>SELECT NR_CPF_CNPJ,max_by(ds_inst_recb_salr,dt_refe)
 FROM g_stbr_c360.patr_exte_ofinc_cnta_tran	
where ds_inst_recb_salr is not null
group by all</t>
  </si>
  <si>
    <t>_santanderamerica.ext_ent_cus.opfin_sys.recurring_bll_pending_pymt_clu</t>
  </si>
  <si>
    <t>Descrição do tipo de conta que o cliente paga com recorrência no mercado</t>
  </si>
  <si>
    <t>Dados que contemplam o Insight de Ausência de Pagamento de Conta no mercado</t>
  </si>
  <si>
    <t>WITH BASE_PGTO_CONTA AS 
(
  select  nr_cpf_cnpj, -- identificador do cliente
          ds_suba, -- subcategoria
          ds_banc, -- santander vs. mercado
          valo, -- valor
          date_add(dt_refe, cast(-rcen as int)) as dt_ult_pgto, -- dias desde o último pagamento
          case when cast(split(dscr,'_')[2] as integer) &lt; dayofmonth(dt_refe) 
                then to_date(concat(date_format(add_months(dt_refe,1),'yyyy-MM'),'-',lpad(cast(split(dscr,'_')[2] as integer),2,'0')))
                else to_date(concat(date_format(dt_refe,'yyyy-MM'),'-',lpad(cast(split(dscr,'_')[2] as integer),2,'0'))) end as dt_prev -- data prevista do próximo pagamento
  from   s_stbr_drm_nba.cdp_catg
  where  dt_refe = (select max(dt_refe) from s_stbr_drm_nba.cdp_catg where dt_refe &lt;= date_add(now(),-2))
  and    dscr like '%recorrencia_dia%'
  and    upper(ds_suba) in ('GÁS','TELECOM (SATÉLITE)', 'TELECOM (POR FIO)', 'ELETRICIDADE','SANEAMENTO', 'TV A CABO',
                            'SEGURO', 'CONSORCIO AUTO', 'ALUGUEL', 'CELULAR CONTROLE', 'FACULDADES', 'SEGURO RESID')
  and    rcen &gt;= 30 -- filtrar clientes com mais de 30 dias desde o último pagamento
)
select  nr_cpf_cnpj, -- identificador do cliente
        ds_suba, -- subcategoria
        ds_banc, -- santander vs. mercado
        valo, -- valor da conta
        dt_ult_pgto, -- última compra
        dt_prev, -- data prevista do próixmo pagamento
        u_id
from (
  select    *,
            row_number() over(partition by nr_cpf_cnpj, case when ds_banc like '%santan%' then 0 else 1 end order by dt_ult_pgto, valo desc) as nr_priorizacao
  from      BASE_PGTO_CONTA) base
inner join s_stbr_drm.cdp_pfle_idef idef
on         base.nr_cpf_cnpj::bigint = idef.nr_cpf::bigint
where nr_priorizacao = 1
and   ds_banc not like '%santan%'</t>
  </si>
  <si>
    <t>_santanderamerica.ext_ent_cus.opfin_sys.recurring_bll_pending_pymt_expctd_dte</t>
  </si>
  <si>
    <t>Data prevista do próximo pagamento de conta no mercado</t>
  </si>
  <si>
    <t>dt_prev</t>
  </si>
  <si>
    <t>_santanderamerica.ext_ent_cus.opfin_sys.recurring_bll_pending_pymt_lst_dte</t>
  </si>
  <si>
    <t>Data do último pagamento de conta que o cliente paga com recorrência no mercado</t>
  </si>
  <si>
    <t>_santanderamerica.ext_ent_cus.opfin_sys.recurring_bll_pending_pymt_mt</t>
  </si>
  <si>
    <t>Valor da conta que o cliente paga com recorrência no mercado</t>
  </si>
  <si>
    <t>_santanderamerica.ext_ent_cus.opfin_sys.sav_acc_tot_mt</t>
  </si>
  <si>
    <t>sav_acc_tot_mt</t>
  </si>
  <si>
    <t>Valor total investido em poupança em outros bancos, via Open Finance</t>
  </si>
  <si>
    <t>100
200
4000</t>
  </si>
  <si>
    <t>open_finance_system_saving_account_total_amount</t>
  </si>
  <si>
    <t>_santanderamerica.ext_ent_cus.sponsorship.attending_lst_dte</t>
  </si>
  <si>
    <t>attending_lst_dte</t>
  </si>
  <si>
    <t>Data de participação em eventos patrocinados pelo Santander</t>
  </si>
  <si>
    <t>sponsorship_attending_last_date</t>
  </si>
  <si>
    <t>_santanderamerica.ext_ent_cus.sponsorship.attending_lst_name</t>
  </si>
  <si>
    <t>attending_lst_name</t>
  </si>
  <si>
    <t>Nome do último evento patrocinado que o cliente participou</t>
  </si>
  <si>
    <t xml:space="preserve">JK IGUATEMI III
Estudar e Viver. Trabalhar só Quando Crescer
KATY PERRY </t>
  </si>
  <si>
    <t>sponsorship_attending_last_name</t>
  </si>
  <si>
    <t>_santanderamerica.ext_ent_cus.sponsorship.attending_lst_territory_desc</t>
  </si>
  <si>
    <t>attending_lst_territory_desc</t>
  </si>
  <si>
    <t>Nome do território do projeto (Gastronomia, Corrida...)</t>
  </si>
  <si>
    <t>Esporte
Música
Cultura</t>
  </si>
  <si>
    <t>sponsorship_attending_last_territory_description</t>
  </si>
  <si>
    <t>_santanderamerica.feature.customer_inactive_indicator</t>
  </si>
  <si>
    <t>customer_inactive_indicator</t>
  </si>
  <si>
    <t>Customer Inactive Indicator</t>
  </si>
  <si>
    <t>Indicador de cliente ativo</t>
  </si>
  <si>
    <t>Segmentação de clientes ativos ou inativos (conceito finanças)</t>
  </si>
  <si>
    <t>in_clie_ativ_banc</t>
  </si>
  <si>
    <t>Identification Data Profile Schema</t>
  </si>
  <si>
    <t>_santanderamerica.identdata_cus.dpdt_nr</t>
  </si>
  <si>
    <t>dpdt_nr</t>
  </si>
  <si>
    <t>Quantidade de dependentes do cliente titular</t>
  </si>
  <si>
    <t>g_stbr_c360.identdata_cus</t>
  </si>
  <si>
    <t>dependents_number</t>
  </si>
  <si>
    <t>_santanderamerica.identdata_cus.employee_type</t>
  </si>
  <si>
    <t>employee_type</t>
  </si>
  <si>
    <t>Employee Type</t>
  </si>
  <si>
    <t>Indicador de funcionário</t>
  </si>
  <si>
    <t>Segmentação de funcionários santander para exclusão de ofertas, ou ofertas diferenciadas</t>
  </si>
  <si>
    <t>A
B
C</t>
  </si>
  <si>
    <t>g_stbr_c360.idef_data_clie_pf_pe
g_stbr_c360.idef_data_nao_clie_pf_pe</t>
  </si>
  <si>
    <t>cd_func_sntd</t>
  </si>
  <si>
    <t>_santanderamerica.identdata_cus.employment_occupation_description</t>
  </si>
  <si>
    <t>employment_occupation_description</t>
  </si>
  <si>
    <t>Employment Occupation Description</t>
  </si>
  <si>
    <t>Profissão</t>
  </si>
  <si>
    <t>Cliente é médico. Sgmentação e oferecer taxas diferenciadas</t>
  </si>
  <si>
    <t>AUTONOMOS
APOSENTADO (EXCETO FUNCIONARIO PUBLICO)
AUXILIAR DE ESCRITORIO E ASS.</t>
  </si>
  <si>
    <t>ds_prof</t>
  </si>
  <si>
    <t>_santanderamerica.identdata_cus_soa.employment.professor_indicator</t>
  </si>
  <si>
    <t>professor_indicator</t>
  </si>
  <si>
    <t>Indicador de classificação de professor no Santander Open Academy</t>
  </si>
  <si>
    <t>Profiles sem esse indicador são classificados como alunos</t>
  </si>
  <si>
    <t>g_stbr_c360.identdata_cus_soa</t>
  </si>
  <si>
    <t>_santanderamerica.identdata_cus_soa.studies.description</t>
  </si>
  <si>
    <t>description</t>
  </si>
  <si>
    <t>Nome de curso no Santander Open Academy</t>
  </si>
  <si>
    <t>PSICOLOGIA
PEDAGOGIA
Relações Internacionais</t>
  </si>
  <si>
    <t>studies_description</t>
  </si>
  <si>
    <t>_santanderamerica.identdata_cus_soa.studies.knowledge_area</t>
  </si>
  <si>
    <t>knowledge_area</t>
  </si>
  <si>
    <t>Descrição da área de interesse no Santander Open Academy</t>
  </si>
  <si>
    <t>['SK-TRANSPORT' 'SK-ADMINISTRATIONS']
['SK-ARCHITECTURE_CONTRUCTION' 'SK-EDUCATION' 'SK-JOURNALISM']
['SK-SOCIAL_SCIENCS' 'SK-EDUCATION' 'SK-ADMINISTRATIONS' 'SK-MEDICINE']</t>
  </si>
  <si>
    <t>studies_knowledge_area</t>
  </si>
  <si>
    <t>_santanderamerica.identdata_cus_soa.studies.university_name</t>
  </si>
  <si>
    <t>university_name</t>
  </si>
  <si>
    <t>Nome da Universidade no Santander Open Academy</t>
  </si>
  <si>
    <t>Universidade Cesumar
ESTACIO DE SÁ
ANHANGUERA</t>
  </si>
  <si>
    <t>studies_university_name</t>
  </si>
  <si>
    <t>_santanderamerica.identities.customer_id</t>
  </si>
  <si>
    <t>customer_id</t>
  </si>
  <si>
    <t>Código único do cliente na Adobe</t>
  </si>
  <si>
    <t>Para PF, cada NR_PESS possui um customer_id. Para PJ, é por CPF do Usuário + CNPJ</t>
  </si>
  <si>
    <t>a5b185d9-fae1-4fef-bbe8-97e2e2385b6c
a5b2cde3-ecd9-412c-b9cf-d5eb97b86353
a5f548d1-c47e-4e92-b972-5c5cadc22781</t>
  </si>
  <si>
    <t>_santanderamerica.internal_profile_soa.active_indicator</t>
  </si>
  <si>
    <t>active_indicator</t>
  </si>
  <si>
    <t>Status do cadastro no Santander Open Academy</t>
  </si>
  <si>
    <t>g_stbr_c360.internal_profile_soa</t>
  </si>
  <si>
    <t>_santanderamerica.internal_profile_soa.registration_date</t>
  </si>
  <si>
    <t>registration_date</t>
  </si>
  <si>
    <t>Data de cadastro no Santander Open Academy</t>
  </si>
  <si>
    <t>_santanderamerica.intprofile_cus.acc.gl_own_flg</t>
  </si>
  <si>
    <t>global_owner_indicator</t>
  </si>
  <si>
    <t>Conta Corrente | Global - Posse</t>
  </si>
  <si>
    <t>Identifica clientes que possuem uma conta global</t>
  </si>
  <si>
    <t>qt_cntr_sele_glob</t>
  </si>
  <si>
    <t>qt_cntr_sele_glob &gt; 0</t>
  </si>
  <si>
    <t>_santanderamerica.intprofile_cus.bonding_level_code</t>
  </si>
  <si>
    <t>bonding_level_code</t>
  </si>
  <si>
    <t>Bonding Level Code</t>
  </si>
  <si>
    <t>Score de Vinculação</t>
  </si>
  <si>
    <t>6, 1, 2, 0</t>
  </si>
  <si>
    <t>cd_vinc_glob_banc</t>
  </si>
  <si>
    <t>_santanderamerica.intprofile_cus.financial_advice_type</t>
  </si>
  <si>
    <t>financial_advice_type</t>
  </si>
  <si>
    <t>Financial Advice Type</t>
  </si>
  <si>
    <t>Cliente é assessorado</t>
  </si>
  <si>
    <t>Cliente ser ou não ser assessorado</t>
  </si>
  <si>
    <t>Não Assessorado, Assessorado AAA</t>
  </si>
  <si>
    <t>g_stbr_c360.perf_grup_segm</t>
  </si>
  <si>
    <t>ds_cart_asse_clie</t>
  </si>
  <si>
    <t>_santanderamerica.intprofile_cus.int_link_trnsfr_flg</t>
  </si>
  <si>
    <t>int_link_trnsfr_flg</t>
  </si>
  <si>
    <t>Indicador de Cliente TTI</t>
  </si>
  <si>
    <t>Cliente que não deu aceite no TTI da conta salário para conta corrente.Identificar clientes que devem ser avisados sobre a transferência de valores da conta salário para conta corrente.</t>
  </si>
  <si>
    <t>g_stbr_c360.intprofile_cus</t>
  </si>
  <si>
    <t>internal_link_transfer_indicator</t>
  </si>
  <si>
    <t>_santanderamerica.intprofile_cus.investment.profile_description</t>
  </si>
  <si>
    <t>profile_description</t>
  </si>
  <si>
    <t>Profile Description</t>
  </si>
  <si>
    <t>Perfil de Investimento - Informação Válida</t>
  </si>
  <si>
    <t>ARROJADO, BALANCEADO, CONSERVADOR, N/A</t>
  </si>
  <si>
    <t>g_stbr_c360.perf_inte_inve</t>
  </si>
  <si>
    <t>nm_perf_inve</t>
  </si>
  <si>
    <t>_santanderamerica.intprofile_cus.investment.profile_expiry_date</t>
  </si>
  <si>
    <t>profile_expiry_date</t>
  </si>
  <si>
    <t>Profile Expiry Date</t>
  </si>
  <si>
    <t>Perfil de Investimento - Data Vencimento</t>
  </si>
  <si>
    <t>31/12/9999, 2025-05-24, 2025-10-28</t>
  </si>
  <si>
    <t>dt_venc_perf</t>
  </si>
  <si>
    <t>_santanderamerica.intprofile_cus.investment.profile_status</t>
  </si>
  <si>
    <t>profile_status</t>
  </si>
  <si>
    <t>Profile Status</t>
  </si>
  <si>
    <t>Cadastro API - Status (Perfil de Investimento)</t>
  </si>
  <si>
    <t>Status do Perfil do Cliente</t>
  </si>
  <si>
    <t>N/A, RECUSADO, VALIDADO</t>
  </si>
  <si>
    <t>ds_situ_perf</t>
  </si>
  <si>
    <r>
      <rPr>
        <strike/>
        <sz val="11"/>
        <color theme="1"/>
        <rFont val="Aptos Narrow"/>
        <family val="2"/>
        <scheme val="minor"/>
      </rPr>
      <t>Internal Profile Schema</t>
    </r>
    <r>
      <rPr>
        <sz val="11"/>
        <color theme="1"/>
        <rFont val="Aptos Narrow"/>
        <family val="2"/>
        <scheme val="minor"/>
      </rPr>
      <t xml:space="preserve">
Features and ML Models</t>
    </r>
  </si>
  <si>
    <r>
      <rPr>
        <strike/>
        <u/>
        <sz val="11"/>
        <color theme="1"/>
        <rFont val="Aptos Narrow"/>
        <family val="2"/>
        <scheme val="minor"/>
      </rPr>
      <t>_santanderamerica.intprofile_cus.investment.stock_market_type</t>
    </r>
    <r>
      <rPr>
        <sz val="11"/>
        <color theme="1"/>
        <rFont val="Aptos Narrow"/>
        <family val="2"/>
        <scheme val="minor"/>
      </rPr>
      <t xml:space="preserve">
_santanderemea.propension_model.ivtmt_stock_mrkt_score</t>
    </r>
  </si>
  <si>
    <r>
      <rPr>
        <strike/>
        <sz val="11"/>
        <color theme="1"/>
        <rFont val="Aptos Narrow"/>
        <family val="2"/>
        <scheme val="minor"/>
      </rPr>
      <t>stock_market_type</t>
    </r>
    <r>
      <rPr>
        <sz val="11"/>
        <color theme="1"/>
        <rFont val="Aptos Narrow"/>
        <family val="2"/>
        <scheme val="minor"/>
      </rPr>
      <t xml:space="preserve">
ivtmt_stock_mrkt_score</t>
    </r>
  </si>
  <si>
    <r>
      <rPr>
        <strike/>
        <sz val="11"/>
        <color theme="1"/>
        <rFont val="Aptos Narrow"/>
        <family val="2"/>
        <scheme val="minor"/>
      </rPr>
      <t>Stock Market Type</t>
    </r>
    <r>
      <rPr>
        <sz val="11"/>
        <color theme="1"/>
        <rFont val="Aptos Narrow"/>
        <family val="2"/>
        <scheme val="minor"/>
      </rPr>
      <t xml:space="preserve">
ivtmt_stock_mrkt_score</t>
    </r>
  </si>
  <si>
    <t>Potencial de investimento (B3)</t>
  </si>
  <si>
    <t>Segmentação do cliente baseado nos dados de investimento B3</t>
  </si>
  <si>
    <t>425
35
63</t>
  </si>
  <si>
    <t>0
N/A</t>
  </si>
  <si>
    <t>g_stbr_c360.propension_model_cus</t>
  </si>
  <si>
    <t>investment_stock_market_score</t>
  </si>
  <si>
    <t>_santanderamerica.intprofile_cus.main_manager.employee_email_address</t>
  </si>
  <si>
    <t>employee_email_address</t>
  </si>
  <si>
    <t>E-mail do gerente da carteira do cliente PJ</t>
  </si>
  <si>
    <t>Variável de e-mail para elaboração de esquenta leads</t>
  </si>
  <si>
    <t>xxxxxx@santander.com.br</t>
  </si>
  <si>
    <t>main_manager_employee_email_address</t>
  </si>
  <si>
    <t>_santanderamerica.intprofile_cus.payroll.le_id</t>
  </si>
  <si>
    <t>le_id</t>
  </si>
  <si>
    <t>CNPJ da folha de pagamento</t>
  </si>
  <si>
    <t>42591651000143
49930514000135
42498733000148</t>
  </si>
  <si>
    <t>g_stbr_c360.idef_data_clie_pf_pe</t>
  </si>
  <si>
    <t>nr_cnpj_fopa_pf</t>
  </si>
  <si>
    <t>_santanderamerica.intprofile_cus.payroll.type</t>
  </si>
  <si>
    <t>type</t>
  </si>
  <si>
    <t>Type</t>
  </si>
  <si>
    <t>Cliente FOPA</t>
  </si>
  <si>
    <t>FOLHA, EX-FOLHA, NÃO FOLHA</t>
  </si>
  <si>
    <t>tp_fopa_h21_risc</t>
  </si>
  <si>
    <t>_santanderamerica.intprofile_cus.person_stakeholder_indicator</t>
  </si>
  <si>
    <t>person_stakeholder_indicator</t>
  </si>
  <si>
    <t>Person Stakeholder Indicator</t>
  </si>
  <si>
    <t>Indicador de que o cliente PF é sócio de uma PJ correntista no Santander</t>
  </si>
  <si>
    <t>Indiador de que o clien te PF é sócio de uma PJ correntista no Santander</t>
  </si>
  <si>
    <t>g_stbr_c360.idef_data_soci</t>
  </si>
  <si>
    <t>nr_cpf_cnpj</t>
  </si>
  <si>
    <t>cd_tipo_pess = 'F'
Todos os clientes que estão na base são sócios.</t>
  </si>
  <si>
    <t>_santanderamerica.intprofile_cus.personal_loan.preventive_indicator</t>
  </si>
  <si>
    <t>preventive_indicator</t>
  </si>
  <si>
    <t>Preventive Indicator</t>
  </si>
  <si>
    <t>Indicador de Preventivos</t>
  </si>
  <si>
    <t>Índice de Preventivos</t>
  </si>
  <si>
    <t xml:space="preserve"> Cliente</t>
  </si>
  <si>
    <t>in_flag_conn_prva</t>
  </si>
  <si>
    <t>_santanderamerica.intprofile_cus.personal_loan.pyrll_agrmt_mobile_acq_flg</t>
  </si>
  <si>
    <t>pyrll_agrmt_mobile_acq_flg</t>
  </si>
  <si>
    <t>Indicador de contratação de consignado via mobile</t>
  </si>
  <si>
    <t>Indica clientes em que o convênio consignado permite a contratação via mobile</t>
  </si>
  <si>
    <t>in_cntr_digi_conn</t>
  </si>
  <si>
    <t>_santanderamerica.intprofile_cus.personal_loan.pyrll_agrmt_type</t>
  </si>
  <si>
    <t>pyrll_agrmt_type</t>
  </si>
  <si>
    <t>personal_loan_payroll_agreement_type</t>
  </si>
  <si>
    <t>Classificação convênio de consignado</t>
  </si>
  <si>
    <t>Área de Atuação do Convênio de Consignado</t>
  </si>
  <si>
    <t>PUBLICO
PRIVADO</t>
  </si>
  <si>
    <t>ds_area_atua_conv_conn</t>
  </si>
  <si>
    <t>_santanderamerica.intprofile_cus.personal_loan.pyrll_collct_code</t>
  </si>
  <si>
    <t>pyrll_collct_code</t>
  </si>
  <si>
    <t>Código do convênio de consignado do cliente</t>
  </si>
  <si>
    <t>Código do convênio de consginado do cliente</t>
  </si>
  <si>
    <t>20991
98989
77777</t>
  </si>
  <si>
    <t>cd_conv_conn</t>
  </si>
  <si>
    <t>_santanderamerica.intprofile_cus.personal_loan.renegotiation_agreement_indicator</t>
  </si>
  <si>
    <t>renegotiation_agreement_indicator</t>
  </si>
  <si>
    <t>Renegotiation Agreement Indicator</t>
  </si>
  <si>
    <t>Indicador de elegibilidade à contratação de Acordos e Renegociação</t>
  </si>
  <si>
    <t>in_flag_conn_prva; in_flag_acor_bau; in_flag_acor_flux_irre; in_flag_acor_com_limi</t>
  </si>
  <si>
    <t>in_flag_conn_prva = 1 or in_flag_acor_bau = 1 or in_flag_acor_flux_irre = 1 or in_flag_acor_com_limi = 1</t>
  </si>
  <si>
    <t>_santanderamerica.intprofile_cus.potential_legal_entity_indicator</t>
  </si>
  <si>
    <t>potential_legal_entity_indicator</t>
  </si>
  <si>
    <t>Indicador de cliente correntista PF que faz parte do público prospect PJ elegível</t>
  </si>
  <si>
    <t>Indicador de cliente correntista PF que faz parte do público prospect PJ elegível. Segmentação considerada:
Prospect PJ
Correntista PF
É sócio
Está ativo na receita
Segmento potencial MEI
Grau de severidade diferente de 4 e 5
Não possui indicadores FACTA/CRS
Pertence aos CNAES elegíveis
Sem restrição PLD
Baixo risco PF</t>
  </si>
  <si>
    <t>_santanderamerica.intprofile_cus.priority_company_segment_code</t>
  </si>
  <si>
    <t>priority_company_segment_code</t>
  </si>
  <si>
    <t>Priority Company Segment Code</t>
  </si>
  <si>
    <t>Maior segmento das empresas em que o cpf é sócio</t>
  </si>
  <si>
    <t>N/A, 015, 229</t>
  </si>
  <si>
    <t>cd_melh_segm_empr_soci</t>
  </si>
  <si>
    <t>_santanderamerica.intprofile_cus.restricted.aml_flg</t>
  </si>
  <si>
    <t>aml_flg</t>
  </si>
  <si>
    <t>Indicador de clientes que possuem restrição UPLD</t>
  </si>
  <si>
    <t>restricted_aml_indicator</t>
  </si>
  <si>
    <t>_santanderamerica.intprofile_cus.santander_key.enabled_date</t>
  </si>
  <si>
    <t>enabled_date</t>
  </si>
  <si>
    <t>Enabled Date</t>
  </si>
  <si>
    <t>Data da última habilitação do ID Santander</t>
  </si>
  <si>
    <t>30/10/2023, 2024-06-20, 2024-09-19</t>
  </si>
  <si>
    <t>g_stbr_c360.omni_mobl</t>
  </si>
  <si>
    <t>dt_ulti_id_ativ</t>
  </si>
  <si>
    <t>_santanderamerica.intprofile_cus.santander_key.enabled_indicator</t>
  </si>
  <si>
    <t>enabled_indicator</t>
  </si>
  <si>
    <t>Enabled Indicator</t>
  </si>
  <si>
    <t>Indicador de ID Santander habilitado</t>
  </si>
  <si>
    <t>Indica os clientes que possuem ID Santanter</t>
  </si>
  <si>
    <t>qt_id_ativ</t>
  </si>
  <si>
    <t>_santanderamerica.intprofile_cus.segment.structural_segment_code</t>
  </si>
  <si>
    <t>structural_segment_code</t>
  </si>
  <si>
    <t>Structural Segment Code</t>
  </si>
  <si>
    <t>Segmento</t>
  </si>
  <si>
    <t>Código do Segmento do Cliente</t>
  </si>
  <si>
    <t>PRI304, PRI007, PRI005</t>
  </si>
  <si>
    <t>cd_segm_prim</t>
  </si>
  <si>
    <t>_santanderamerica.intprofile_cus.segment.structural_subsegment_code</t>
  </si>
  <si>
    <t>structural_subsegment_code</t>
  </si>
  <si>
    <t>Structural Subsegment Code</t>
  </si>
  <si>
    <t>Segmento secundário</t>
  </si>
  <si>
    <t>SEC080, SECAJG, N/A</t>
  </si>
  <si>
    <t>cd_segm_secu</t>
  </si>
  <si>
    <t>_santanderamerica.lyty_rwd_prog.clu_descr</t>
  </si>
  <si>
    <t>clu_descr</t>
  </si>
  <si>
    <t>Categorização de gastos do Shopping</t>
  </si>
  <si>
    <t>Clusterização Kmeans de Esfera</t>
  </si>
  <si>
    <t>INTERESSADOS POR PRODUTOS FISICOS E VOUCHERS
MODERADOS
DESENGAJADOS</t>
  </si>
  <si>
    <t>loyalty_rewards_program_cluster_description</t>
  </si>
  <si>
    <t>_santanderamerica.postr_pst_cus.cc.stmt_rngtn_psal_lst_dte</t>
  </si>
  <si>
    <t>stmt_rngtn_psal_lst_dte</t>
  </si>
  <si>
    <t>Data da última proposta de parcelamento de fatura (renegociação)</t>
  </si>
  <si>
    <t>07/04/2025
06/10/2025
05/06/2025</t>
  </si>
  <si>
    <t>g_stbr_c360.posi_movi_fatu_ccre</t>
  </si>
  <si>
    <t>dt_ulti_prop_parc_fatu_crto</t>
  </si>
  <si>
    <t>_santanderamerica.postr_pst_cus.cc.stmt_rngtn_psal_sta</t>
  </si>
  <si>
    <t>stmt_rngtn_psal_sta</t>
  </si>
  <si>
    <t>Status da última proposta de parcelamento de fatura (renegociação)</t>
  </si>
  <si>
    <t>Pendente (Aguardando Pagamento)
Efetivada
Cancelada</t>
  </si>
  <si>
    <t>ds_situ_parc</t>
  </si>
  <si>
    <t>Position and Transaction Profile Schema</t>
  </si>
  <si>
    <t>_santanderamerica.postran_cus.account.acc_fe_pd_mthy_mt</t>
  </si>
  <si>
    <t>acc_fe_pd_mthy_mt</t>
  </si>
  <si>
    <t>Valor pago no pacote de tarifas</t>
  </si>
  <si>
    <t>Último valor pago no pacote de tarifas</t>
  </si>
  <si>
    <t>12.32
33.12
18.17</t>
  </si>
  <si>
    <t>NULL
-1
0</t>
  </si>
  <si>
    <t>vl_paco_tari_cnta_prin_com_desc</t>
  </si>
  <si>
    <t>_santanderamerica.postran_cus.account.acc_gl_trst_lst_dte</t>
  </si>
  <si>
    <t>acc_gl_trst_lst_dte</t>
  </si>
  <si>
    <t>Data da última movimentação da conta Select Global</t>
  </si>
  <si>
    <t>g_stbr_c360.postran_positions_cus</t>
  </si>
  <si>
    <t>account_global_transaction_last_date</t>
  </si>
  <si>
    <t>_santanderamerica.postran_cus.account.bl_avail_mt</t>
  </si>
  <si>
    <t>bl_avail_mt</t>
  </si>
  <si>
    <t>Valor do saldo em conta futuro</t>
  </si>
  <si>
    <t>Valor do saldo em conta atual, subtraindo os lançamentos futuros dos próximos 3 dias</t>
  </si>
  <si>
    <t>account_balance_available_amount</t>
  </si>
  <si>
    <t>_santanderamerica.postran_cus.account.feature.acc_txn_lst_90_dys_tot_nr</t>
  </si>
  <si>
    <t>acc_txn_lst_90_dys_tot_nr</t>
  </si>
  <si>
    <t>Quantidade de transações nos últimos 3 meses</t>
  </si>
  <si>
    <t>Soma da quantidade de transações realizadas pelo cliente nos últimos 90 dias</t>
  </si>
  <si>
    <t>9
8
7</t>
  </si>
  <si>
    <t>account_transaction_last_90_days_total_number</t>
  </si>
  <si>
    <t>_santanderamerica.postran_cus.account.feature.bl_incrse_lst_dy_tot_mt</t>
  </si>
  <si>
    <t>bl_incrse_lst_dy_tot_mt</t>
  </si>
  <si>
    <t>Valor de incremento de saldo comparando: Saldo em conta em (D-1) e saldo em conta em (D-2)</t>
  </si>
  <si>
    <t>account_balance_increase_last_day_total_amount</t>
  </si>
  <si>
    <t>_santanderamerica.postran_cus.account.feature.issnce_stmt_l6m_max_mthly_nr</t>
  </si>
  <si>
    <t>issnce_stmt_l6m_max_mthly_nr</t>
  </si>
  <si>
    <t>Quantidade máxima de extrato no mês utilizado nos últimos 6 meses</t>
  </si>
  <si>
    <t>5
3
1</t>
  </si>
  <si>
    <t>account_issuance_statement_last_6_months_max_monthly_number</t>
  </si>
  <si>
    <r>
      <t xml:space="preserve">_santanderamerica.postran_cus.account.feature.transation_last_days_indicator
</t>
    </r>
    <r>
      <rPr>
        <sz val="11"/>
        <color theme="1"/>
        <rFont val="Aptos Narrow"/>
        <family val="2"/>
        <scheme val="minor"/>
      </rPr>
      <t>_santanderamerica.postran_cus.account.feature.transation_last_date</t>
    </r>
  </si>
  <si>
    <r>
      <rPr>
        <strike/>
        <sz val="11"/>
        <color theme="1"/>
        <rFont val="Aptos Narrow"/>
        <family val="2"/>
        <scheme val="minor"/>
      </rPr>
      <t>transation_last_days_indicator</t>
    </r>
    <r>
      <rPr>
        <sz val="11"/>
        <color theme="1"/>
        <rFont val="Aptos Narrow"/>
        <family val="2"/>
        <scheme val="minor"/>
      </rPr>
      <t xml:space="preserve">
transaction_last_date</t>
    </r>
  </si>
  <si>
    <r>
      <rPr>
        <strike/>
        <sz val="11"/>
        <color theme="1"/>
        <rFont val="Aptos Narrow"/>
        <family val="2"/>
        <scheme val="minor"/>
      </rPr>
      <t>Account Transaction Last Days Indicator</t>
    </r>
    <r>
      <rPr>
        <sz val="11"/>
        <color theme="1"/>
        <rFont val="Aptos Narrow"/>
        <family val="2"/>
        <scheme val="minor"/>
      </rPr>
      <t xml:space="preserve">
transation last date</t>
    </r>
  </si>
  <si>
    <t>Data desde a última movimentação (Hoje – Quantidade de Dias de Saldo Parado)</t>
  </si>
  <si>
    <t>2025-03-01
2025-28-02
2025-03-15</t>
  </si>
  <si>
    <t>NULL
9999-12-31</t>
  </si>
  <si>
    <t>g_stbr_c360.posi_movi_cnta_bncr</t>
  </si>
  <si>
    <t>qt_dias_sem_decr_sald</t>
  </si>
  <si>
    <t>DATE_FORMAT(DATEADD(DAY, -crim.qt_dias_sem_decr_sald, current_date()), current_date()) as dt_ulti_tran</t>
  </si>
  <si>
    <t>_santanderamerica.postran_cus.account.intbeacc_bl_mt</t>
  </si>
  <si>
    <t>intbeacc_bl_mt</t>
  </si>
  <si>
    <t>Valor total de contratos de Contamax</t>
  </si>
  <si>
    <t>interest_bearing_account_balance_amount</t>
  </si>
  <si>
    <t>_santanderamerica.postran_cus.account.intbeacc_positive_bl_lst_dte</t>
  </si>
  <si>
    <t>intbeacc_positive_bl_lst_dte</t>
  </si>
  <si>
    <t>Data início do contrato de Contamax (maior que 0)</t>
  </si>
  <si>
    <t>Identificar clientes que possuem ContaMax há mais de 10 ou 22 meses</t>
  </si>
  <si>
    <t>interest_bearing_account_positive_balance_first_date</t>
  </si>
  <si>
    <t>_santanderamerica.postran_cus.account.pyrll_ibnd_frst_dte</t>
  </si>
  <si>
    <t>pyrll_ibnd_frst_dte</t>
  </si>
  <si>
    <t>Data de formalização da folha de pagamento Santander</t>
  </si>
  <si>
    <t>Data que o cliente formalizou com o Santander o recebimento de salário.</t>
  </si>
  <si>
    <t>account_payroll_inbound_first_date</t>
  </si>
  <si>
    <t>_santanderamerica.postran_cus.account.pyrll_ibnd_lst_dte</t>
  </si>
  <si>
    <t>pyrll_ibnd_lst_dte</t>
  </si>
  <si>
    <t>Data do último recebimento de salário</t>
  </si>
  <si>
    <t>05/30/2025
05/07/2025
05/20/2025</t>
  </si>
  <si>
    <t>account_payroll_inbound_last_date</t>
  </si>
  <si>
    <t>_santanderamerica.postran_cus.account.saving_account_balance_amount</t>
  </si>
  <si>
    <t>saving_account_balance_amount</t>
  </si>
  <si>
    <t>Valor do Saldo da Conta Poupança</t>
  </si>
  <si>
    <t>0.0 ; 1000.0 ; 20000.0</t>
  </si>
  <si>
    <t>vl_sald_totl_poup</t>
  </si>
  <si>
    <t>Subir range:
&lt;0 = -1
0 - 99 = 0
100 - 999 = 100
1000 - 4999 = 1000
5000 - 9999     = 5000
10000 - 14999 = 10000
15000 - 19999 = 15000
&gt;= 20000        = 20000</t>
  </si>
  <si>
    <t>_santanderamerica.postran_cus.account.saving_account_deposit_last_date</t>
  </si>
  <si>
    <t>saving_account_deposit_last_date</t>
  </si>
  <si>
    <t>Última data de depósito em Conta Poupança</t>
  </si>
  <si>
    <t>18/11/2024 ; 9999-12-31</t>
  </si>
  <si>
    <t>g_stbr_c360.posi_movi_smr0_inve</t>
  </si>
  <si>
    <t>dt_ulti_apli_poup</t>
  </si>
  <si>
    <t>_santanderamerica.postran_cus.acqrn.feature.rvn_l3m_tot_mt</t>
  </si>
  <si>
    <t>rvn_l3m_tot_mt</t>
  </si>
  <si>
    <t>Valor de faturamento em adquirência total dos últimos 3 meses</t>
  </si>
  <si>
    <t>0.99
29.9
0.98</t>
  </si>
  <si>
    <t>acquiring_revenue_l3m_total_amount</t>
  </si>
  <si>
    <t>_santanderamerica.postran_cus.acqrn.feature.rvn_l6m_tot_mt</t>
  </si>
  <si>
    <t>rvn_l6m_tot_mt</t>
  </si>
  <si>
    <t>Valor médio de faturamento em adquirência nos últimos 6 meses fechados</t>
  </si>
  <si>
    <t>acquiring_revenue_last_6_months_total_amount</t>
  </si>
  <si>
    <t>_santanderamerica.postran_cus.acqrn.rvn_lst_mth_tot_mt</t>
  </si>
  <si>
    <t>rvn_lst_mth_tot_mt</t>
  </si>
  <si>
    <t>Valor de total de faturamento de adquirência no Santander nos últimos 30 dias</t>
  </si>
  <si>
    <t>Informação calculada a partir do domínio de adquirência</t>
  </si>
  <si>
    <t>0.98
29.9
0.99</t>
  </si>
  <si>
    <t>acquiring_revenue_last_month_total_amount</t>
  </si>
  <si>
    <t>_santanderamerica.postran_cus.agro_dqcy_min_dys_nr</t>
  </si>
  <si>
    <t>agro_dqcy_min_dys_nr</t>
  </si>
  <si>
    <t>Quantidade de dias de atraso em produtos agro</t>
  </si>
  <si>
    <t>29
19
10</t>
  </si>
  <si>
    <t>agro_delinquency_minimum_days_number</t>
  </si>
  <si>
    <t>_santanderamerica.postran_cus.checking_account.balance_amount</t>
  </si>
  <si>
    <t>balance_amount</t>
  </si>
  <si>
    <t>Valor do Saldo</t>
  </si>
  <si>
    <t>Verficiar saldo disponível em conta ou valor do saldo parado em conta</t>
  </si>
  <si>
    <t>0.0 ; -1.0; 1000.0</t>
  </si>
  <si>
    <t>vl_sald_totl_disp_cnta_crrt</t>
  </si>
  <si>
    <t>_santanderamerica.postran_cus.credit_card.feature.spnt_l3m_me_mt</t>
  </si>
  <si>
    <t>spnt_l3m_me_mt</t>
  </si>
  <si>
    <t>spnt l3m me mt</t>
  </si>
  <si>
    <t>Spending do cartão de crédito nos últimos 3 meses</t>
  </si>
  <si>
    <t>Valor médio de spending do cliente, considerando os últimos 3 meses</t>
  </si>
  <si>
    <t>6489.5
1619.2099
3165.9199</t>
  </si>
  <si>
    <t>g_stbr_c360.cmtt_tran_perf_finc_ccre</t>
  </si>
  <si>
    <t>vl_tran_cred</t>
  </si>
  <si>
    <t>SELECT sum(VL_TRAN_CRED)/3 AS VL_TRAN_3M,
       nr_cpf_cnpj
FROM   g_stbr_c360.cmtt_tran_perf_finc_ccre
WHERE  DT_REFE &gt;= DATE(NOW()) - 90
GROUP BY ALL</t>
  </si>
  <si>
    <t>_santanderamerica.postran_cus.credit_card.feature.spnt_l6m_me_mt</t>
  </si>
  <si>
    <t>spnt_l6m_me_mt</t>
  </si>
  <si>
    <t>Média de spending nos últimos 6 meses</t>
  </si>
  <si>
    <t>Média mensal de gastos no cartão de crédito, olhando os últimos 6 meses</t>
  </si>
  <si>
    <t>credit_card_spent_last_6_months_average_amount</t>
  </si>
  <si>
    <t>_santanderamerica.postran_cus.credit_card.international_purchases_last_month_amount</t>
  </si>
  <si>
    <t>international_purchases_last_month_amount</t>
  </si>
  <si>
    <t>International Purchases Last Month Amount</t>
  </si>
  <si>
    <t>Valor de Compras Internacionais no Mês Passado</t>
  </si>
  <si>
    <t>0.0; 90.18; 92.96</t>
  </si>
  <si>
    <t>vl_tran_cred_cpra_intc</t>
  </si>
  <si>
    <t>Levar mês anterior fechado</t>
  </si>
  <si>
    <t>_santanderamerica.postran_cus.credit_card.spnt_lst_30d_me_mt</t>
  </si>
  <si>
    <t>spnt_lst_30d_me_mt</t>
  </si>
  <si>
    <t>Média de spending no cartão de crédito nos ultimos 30 dias</t>
  </si>
  <si>
    <t>Média diária de gastos no cartão de crédito, olhando os últimos 30 dias</t>
  </si>
  <si>
    <t>credit_card_spent_last_1_month_average_amount</t>
  </si>
  <si>
    <t>_santanderamerica.postran_cus.credit_card.stmt_rngtn_psal_chnl_code</t>
  </si>
  <si>
    <t>stmt_rngtn_psal_chnl_code</t>
  </si>
  <si>
    <t>Canal da última proposta de parcelamento de fatura</t>
  </si>
  <si>
    <t>Identificar clientes com com propostas pendentes de efetivação/formalização  de parcelamento de fatura</t>
  </si>
  <si>
    <t>9008
9003
9054</t>
  </si>
  <si>
    <t>credit_card_statement_renegotiation_proposal_channel_code</t>
  </si>
  <si>
    <t>_santanderamerica.postran_cus.delinquency_maximum_days_number</t>
  </si>
  <si>
    <t>delinquency_maximum_days_number</t>
  </si>
  <si>
    <t>Quantidade de dias de atraso (valor máximo do cliente considerando todos os produtos em atraso)</t>
  </si>
  <si>
    <t xml:space="preserve">Quantidade de dias de atraso </t>
  </si>
  <si>
    <t>0; 1299; 505</t>
  </si>
  <si>
    <t>g_stbr_c360.cntr_prop_cntr_atrs_pf</t>
  </si>
  <si>
    <t>qt_maxi_dia_atrs</t>
  </si>
  <si>
    <t>_santanderamerica.postran_cus.dqcy_max_dys_mt</t>
  </si>
  <si>
    <t>dqcy_max_dys_mt</t>
  </si>
  <si>
    <t>Valor correspondente ao contrato de maior atraso</t>
  </si>
  <si>
    <t>delinquency_maximum_days_amount</t>
  </si>
  <si>
    <t>_santanderamerica.postran_cus.evsn_tot_mt</t>
  </si>
  <si>
    <t>evsn_tot_mt</t>
  </si>
  <si>
    <t>Valor total evadido nos últimos 12 meses (Ezequiel)</t>
  </si>
  <si>
    <t>3899.00
550.00
239.10</t>
  </si>
  <si>
    <t>s_stbr_drm_nba.ezql_pf</t>
  </si>
  <si>
    <t>vl_said_mesm_titl</t>
  </si>
  <si>
    <t>SELECT nr_cpf_cnpj, SUM(vl_said_mesm_titl)
WHERE cd_banc != 33
GROUP BY nr_cpf_cnpj</t>
  </si>
  <si>
    <t>_santanderamerica.postran_cus.foreign_exchange.purchased_last_date</t>
  </si>
  <si>
    <t>purchased_last_date</t>
  </si>
  <si>
    <t>Última data de recebimento de câmbio</t>
  </si>
  <si>
    <t>28/02/2025
27/02/2025
26/02/2025</t>
  </si>
  <si>
    <t>g_stbr_c360.cmtt_tran_finc_pix
g_stbr_c360.cmtt_tran_finc_ted</t>
  </si>
  <si>
    <t>dt_ult_recb_camb</t>
  </si>
  <si>
    <t xml:space="preserve">  select nr_cpf_cnpj,
         max(dt_ult_recb_camb)
  from
      (
        select nr_cpf_cnpj,
               max(dt_refe) dt_ult_recb_camb
        from   g_stbr_c360.cmtt_tran_finc_pix
        where  qt_traf_pix_camb_recb &gt; 0
        group by all
          union all
        select nr_cpf_cnpj,
               max(dt_refe) dt_ult_recb_camb
        from   g_stbr_c360.cmtt_tran_finc_ted
        where  qt_traf_ted_camb_recb &gt; 0
        group by all
      )
  group by all</t>
  </si>
  <si>
    <t>_santanderamerica.postran_cus.foreign_exchange.purchased_maximum_amount</t>
  </si>
  <si>
    <t>purchased_maximum_amount</t>
  </si>
  <si>
    <t>Valor máximo recebido de câmbio</t>
  </si>
  <si>
    <t>6089.8
2738.84
14321.64</t>
  </si>
  <si>
    <t>g_stbr_c360.posi_movi_camb</t>
  </si>
  <si>
    <t>vl_maxi_mn_cpra_efet</t>
  </si>
  <si>
    <t>_santanderamerica.postran_cus.foreign_exchange.sold_maximum_amount</t>
  </si>
  <si>
    <t>sold_maximum_amount</t>
  </si>
  <si>
    <t>Valor máximo valor evadido câmbio</t>
  </si>
  <si>
    <t>vl_maxi_mn_vend_efet</t>
  </si>
  <si>
    <t>_santanderamerica.postran_cus.foreign_exchange.stop_transaction_last_date</t>
  </si>
  <si>
    <t>stop_transaction_last_date</t>
  </si>
  <si>
    <t>Ordem de Pagamento Parada - Data Mínima</t>
  </si>
  <si>
    <t>Data Mínima de de Ordem de Pagamento Parada</t>
  </si>
  <si>
    <t>12/31/9999
01/22/2025
01/24/2025</t>
  </si>
  <si>
    <t>dt_ulti_oper_autz_pard</t>
  </si>
  <si>
    <t>_santanderamerica.postran_cus.foreign_exchange.transaction_last_date</t>
  </si>
  <si>
    <t>Data da Última Operação de Câmbio</t>
  </si>
  <si>
    <t>12/31/9999
01/20/2025
01/16/2025</t>
  </si>
  <si>
    <t>dt_ulti_fech_mobl</t>
  </si>
  <si>
    <t>_santanderamerica.postran_cus.fx.feature.prch_l12m_tot_mt</t>
  </si>
  <si>
    <t>prch_l12m_tot_mt</t>
  </si>
  <si>
    <t>Valor total evadido para Wise, Nomad ou Avenue nos últimos 12 meses</t>
  </si>
  <si>
    <t>20
19.99
50</t>
  </si>
  <si>
    <t>foreign_exchange_purchased_last_12_months_total_amount</t>
  </si>
  <si>
    <t>_santanderamerica.postran_cus.fx.stop_txn_mt</t>
  </si>
  <si>
    <t>stop_txn_mt</t>
  </si>
  <si>
    <t>Valor total da ordem de pagamento parada</t>
  </si>
  <si>
    <t>Valor total da ordem de pagamento parada - acompanha a variável 90</t>
  </si>
  <si>
    <t>104331.33
2795.46
10050</t>
  </si>
  <si>
    <t>foreign_exchange_stop_transaction_amount</t>
  </si>
  <si>
    <t>_santanderamerica.postran_cus.fxdtm.tot_mt</t>
  </si>
  <si>
    <t>tot_mt</t>
  </si>
  <si>
    <t>Valor investido em produtos elegíveis ao CP Investidor</t>
  </si>
  <si>
    <t>Valor investido em produtos elegíveis ao CP Investidor. Deve refletir o valor acumulado em LCA, LCI, CDB, Fundos e Poupança.</t>
  </si>
  <si>
    <t>50
0.01
0.02</t>
  </si>
  <si>
    <t>fixed_term_total_amount</t>
  </si>
  <si>
    <t>_santanderamerica.postran_cus.instpymt.inst_ptmt_txn_lst_mth_tot_nr</t>
  </si>
  <si>
    <t>inst_ptmt_txn_lst_mth_tot_nr</t>
  </si>
  <si>
    <t>Quantidade de transações PIX no último mês fechado</t>
  </si>
  <si>
    <t>Quantidade de transações pix realizadas no último mês</t>
  </si>
  <si>
    <t>instant_payment_transaction_last_month_total_number</t>
  </si>
  <si>
    <t>_santanderamerica.postran_cus.investment.brkg.registration_lst_dte</t>
  </si>
  <si>
    <t>registration_lst_dte</t>
  </si>
  <si>
    <t>Data de cadastro da conta TORO</t>
  </si>
  <si>
    <t>investment_brokerage_registration_last_date</t>
  </si>
  <si>
    <t>_santanderamerica.postran_cus.investment.brkg.tot_mt</t>
  </si>
  <si>
    <t>Valor do saldo na conta TORO</t>
  </si>
  <si>
    <t>A Toro é uma corretora de valores do Santander Brasil e oferece uma gama de serviços, como aplicações na Bolsa, Renda Fixa, Fundos de Investimentos, produtos exclusivos do banco, além de cursos na área de finanças.</t>
  </si>
  <si>
    <t>investment_brokerage_total_amount</t>
  </si>
  <si>
    <t>_santanderamerica.postran_cus.investment.evsn_l12m_tot_mt</t>
  </si>
  <si>
    <t>evsn_l12m_tot_mt</t>
  </si>
  <si>
    <t>Valor evadido para corretoras de investimentos nos últimos 12 meses</t>
  </si>
  <si>
    <t>investment_evasion_last_12_months_total_amount</t>
  </si>
  <si>
    <t>_santanderamerica.postran_cus.investment.feature.pvpens_lst_yr_tot_mt</t>
  </si>
  <si>
    <t>pvpens_lst_yr_tot_mt</t>
  </si>
  <si>
    <t>Valor acumulado no último ano de boletos de pagos de previdência</t>
  </si>
  <si>
    <t>29.9
59.8
149.5</t>
  </si>
  <si>
    <t>investment_private_pension_last_year_total_amount</t>
  </si>
  <si>
    <t>_santanderamerica.postran_cus.investment.gross_value</t>
  </si>
  <si>
    <t>gross_value</t>
  </si>
  <si>
    <t>Investment Gross Value</t>
  </si>
  <si>
    <t>Valor Bruto do Investimento</t>
  </si>
  <si>
    <t>28.0; 0.0; 277052.89</t>
  </si>
  <si>
    <t>vl_sald_brut_totl_inve</t>
  </si>
  <si>
    <t>_santanderamerica.postran_cus.investment.pvpens.tot_mt</t>
  </si>
  <si>
    <t>Valor total investido em previdência</t>
  </si>
  <si>
    <t>investment_private_pension_total_amount</t>
  </si>
  <si>
    <t>_santanderamerica.postran_cus.investment.txn_lst_dte</t>
  </si>
  <si>
    <t>txn_lst_dte</t>
  </si>
  <si>
    <t>Data da última contratação de investimentos</t>
  </si>
  <si>
    <t>06/06/2025
06/02/2025
06/05/2025</t>
  </si>
  <si>
    <t>dt_ulti_apli_inve</t>
  </si>
  <si>
    <t>_santanderamerica.postran_cus.microcredit.dqcy_tot_nr</t>
  </si>
  <si>
    <t>dqcy_tot_nr</t>
  </si>
  <si>
    <t>Quantidade de dias de atraso em produtos Prospera</t>
  </si>
  <si>
    <t>microcredit_delinquency_total_number</t>
  </si>
  <si>
    <t>_santanderamerica.postran_cus.payment.authorized_debit_last_date</t>
  </si>
  <si>
    <t>authorized_debit_last_date</t>
  </si>
  <si>
    <t>Última data de débito autorizada</t>
  </si>
  <si>
    <t>12/31/9999
12/07/2019
09/24/2019</t>
  </si>
  <si>
    <t>qt_temp_mini_cntr_dda</t>
  </si>
  <si>
    <t>_santanderamerica.postran_cus.payment.authorized_debit_total_number</t>
  </si>
  <si>
    <t>authorized_debit_total_number</t>
  </si>
  <si>
    <t>Quantidade de DDA cadastrado</t>
  </si>
  <si>
    <t>0; 1</t>
  </si>
  <si>
    <t>qt_cntr_dda</t>
  </si>
  <si>
    <t>_santanderamerica.postran_cus.payment.automatic_debit_total_number</t>
  </si>
  <si>
    <t>automatic_debit_total_number</t>
  </si>
  <si>
    <t>Quantidade de DAC Cadastrado</t>
  </si>
  <si>
    <t>0; 2; 17</t>
  </si>
  <si>
    <t>g_stbr_c360.cmtt_tran_finc_cnta_crrt</t>
  </si>
  <si>
    <t>qt_debt_auto_ativ</t>
  </si>
  <si>
    <t>_santanderamerica.postran_cus.payment.bill_manual_debit_last_date</t>
  </si>
  <si>
    <t>bill_manual_debit_last_date</t>
  </si>
  <si>
    <t>Última data de pagamento de boleto</t>
  </si>
  <si>
    <t>Última data do pagamento de boleto</t>
  </si>
  <si>
    <t>g_stbr_c360.cmtt_tran_finc_bolt</t>
  </si>
  <si>
    <t>max(dt_refe)</t>
  </si>
  <si>
    <t>_santanderamerica.postran_cus.payment.feature.enrgy_bll_l6m_avg_mt</t>
  </si>
  <si>
    <t>enrgy_bll_l6m_avg_mt</t>
  </si>
  <si>
    <t>Valor médio paga em conta de energia em 6 meses</t>
  </si>
  <si>
    <t>Valor médio paga em conta de energia em 6 meses (VL_PGTO_LUZ_MED_6M)</t>
  </si>
  <si>
    <t>389.00
550.00
239.10</t>
  </si>
  <si>
    <t>payment_energy_bill_last_6_months_average_amount</t>
  </si>
  <si>
    <t>_santanderamerica.postran_cus.payment.stop_slip_last_date</t>
  </si>
  <si>
    <t>stop_slip_last_date</t>
  </si>
  <si>
    <t>Data de perda da FOPA do cliente</t>
  </si>
  <si>
    <t>12/31/9999
01/23/2025
01/15/2025</t>
  </si>
  <si>
    <t>g_stbr_c360.idef_data_pe_fopa</t>
  </si>
  <si>
    <t>dt_folh_perd</t>
  </si>
  <si>
    <t>_santanderamerica.postran_cus.payment.utility_bill_manual_last_date</t>
  </si>
  <si>
    <t>utility_bill_manual_last_date</t>
  </si>
  <si>
    <t>Última data de pagamento de conta</t>
  </si>
  <si>
    <t>Última data do pagamento de conta</t>
  </si>
  <si>
    <t xml:space="preserve">g_stbr_c360.cmtt_tran_perf_finc_arrc </t>
  </si>
  <si>
    <t>_santanderamerica.postran_cus.rngtn_agrmt_dqcy_max_dys_nr</t>
  </si>
  <si>
    <t>rngtn_agrmt_dqcy_max_dys_nr</t>
  </si>
  <si>
    <t>Quantidade de dias em atraso em acordos</t>
  </si>
  <si>
    <t>Considera o valor máximo de atraso em acordos</t>
  </si>
  <si>
    <t>renegotiation_agreement_delinquency_maximum_days_number</t>
  </si>
  <si>
    <t>_santanderamerica.postran_cus.transfer.sent_last_6_month_total_number</t>
  </si>
  <si>
    <t>sent_last_6_month_total_number</t>
  </si>
  <si>
    <t>Quantidade de transferências ultimos 6 meses</t>
  </si>
  <si>
    <t>124, 1, 4, 0</t>
  </si>
  <si>
    <t>g_stbr_c360.cmtt_tran_finc_traf_dstnt</t>
  </si>
  <si>
    <t>qt_mens_bolt_pgto_recd_dstnt,
qt_mens_bolt_emis_pgad_dstnt,
qt_mens_traf_pix_pess_dstnt_envi,
qt_mens_traf_pix_banc_dstnt_envi,
qt_mens_traf_pix_pess_dstnt_recb,
qt_mens_traf_pix_banc_dstnt_recb,
qt_mens_traf_ted_pess_dstnt_envi,
qt_mens_traf_ted_banc_dstnt_envi,
qt_mens_traf_ted_pess_dstnt_recb,
qt_mens_traf_ted_banc_dstnt_recb</t>
  </si>
  <si>
    <t>_santanderamerica.postran_cus.transfer.sent_last_month_total_amount</t>
  </si>
  <si>
    <t>sent_last_month_total_amount</t>
  </si>
  <si>
    <t>Transfer Sent Last Month Total Amount</t>
  </si>
  <si>
    <t>Valor Total da Transferência Enviada no mês passado</t>
  </si>
  <si>
    <t>12053.78; 0.0; 3668.21</t>
  </si>
  <si>
    <t>g_stbr_c360.cmtt_tran_finc_pix, g_stbr_c360.cmtt_tran_finc_ted, g_stbr_c360.cmtt_tran_finc_doc</t>
  </si>
  <si>
    <t>vl_traf_pix_envi, vl_traf_ted_envi, vl_traf_doc_envi</t>
  </si>
  <si>
    <t>Levar mês anterior fechado, somar o valor de todas as origens.</t>
  </si>
  <si>
    <t>_santanderamerica.postran_cus.transfer.sent_last_month_total_number</t>
  </si>
  <si>
    <t>sent_last_month_total_number</t>
  </si>
  <si>
    <t>Quantidade de transações no último mês</t>
  </si>
  <si>
    <t>41; 0; 3</t>
  </si>
  <si>
    <t>_santanderamerica.postran_cus.transfer.trfr_feature.snt_l6m_max_mthy_nr</t>
  </si>
  <si>
    <t>snt_l6m_max_mthy_nr</t>
  </si>
  <si>
    <t>Quantidade máxima de TEDs e DOCs no mês utilizado nos últimos 6 meses</t>
  </si>
  <si>
    <t>1
3
10</t>
  </si>
  <si>
    <t>transfer_sent_last_6_months_maximum_monthly_number</t>
  </si>
  <si>
    <t>_santanderamerica.postran_cus.txn.feature.txn_check_l6m_max_mthly_nr</t>
  </si>
  <si>
    <t>txn_check_l6m_max_mthly_nr</t>
  </si>
  <si>
    <t>Quantidade máxima de cheque no mês utilizado nos últimos 6 meses</t>
  </si>
  <si>
    <t>transaction_check_last_6_months_max_monthly_number</t>
  </si>
  <si>
    <t>_santanderamerica.postran_cus.txn.feature.txn_wdrl_l6m_max_mthly_nr</t>
  </si>
  <si>
    <t>txn_wdrl_l6m_max_mthly_nr</t>
  </si>
  <si>
    <t>Quantidade máxima de saque no mês utilizado nos últimos 6 meses</t>
  </si>
  <si>
    <t>transaction_withdrawal_last_6_months_max_monthly_number</t>
  </si>
  <si>
    <t>_santanderamerica.product_services_cus.instant_payment.ctless_goog_py_flg</t>
  </si>
  <si>
    <t>ctless_goog_py_flg</t>
  </si>
  <si>
    <t>Cadastro de PIX na Wallet GooglePay</t>
  </si>
  <si>
    <t>g_stbr_c360.cntr_prop_serv_chav_pix</t>
  </si>
  <si>
    <t>in_flag_clie_cadr_goog_jsr</t>
  </si>
  <si>
    <t>_santanderamerica.product_services_cus.instant_payment.key_mobile_total_number</t>
  </si>
  <si>
    <t>key_mobile_total_number</t>
  </si>
  <si>
    <t>Key Mobile Total Number</t>
  </si>
  <si>
    <t>Quantidade de cadastros da chave pix celular</t>
  </si>
  <si>
    <t>Segmentaçõ de clientes que possuem pelo menos uma chave forte pix cadastrada</t>
  </si>
  <si>
    <t>2
3
4</t>
  </si>
  <si>
    <t>qt_chav_ativ_celu</t>
  </si>
  <si>
    <t>_santanderamerica.product_services_cus.instant_payment.mobile_registration_last_date</t>
  </si>
  <si>
    <t>mobile_registration_last_date</t>
  </si>
  <si>
    <t>Instant Payment Mobile Registration Last Date</t>
  </si>
  <si>
    <t>Data do último cadastro de celular como chave pix</t>
  </si>
  <si>
    <t>10/07/2020
10/13/2020
10/08/2020</t>
  </si>
  <si>
    <t>dt_ulti_chav_cadr_celu</t>
  </si>
  <si>
    <t>_santanderamerica.product_services_cus.instant_payment.prtab.against_lst_dte</t>
  </si>
  <si>
    <t>against_lst_dte</t>
  </si>
  <si>
    <t>Data do último pedido de portabilidade de chave PIX contra</t>
  </si>
  <si>
    <t>Data do pedido de portabilidade contra da chave pix (mais recente)</t>
  </si>
  <si>
    <t>2025-06-06
2025-02-06
2025-03-31</t>
  </si>
  <si>
    <t>instant_payment_portability_against_last_date</t>
  </si>
  <si>
    <t>_santanderamerica.product_services_cus.instant_payment.prtab.against_lst_sta</t>
  </si>
  <si>
    <t>against_lst_sta</t>
  </si>
  <si>
    <t>Status do último pedido de portabilidade de chave PIX contra</t>
  </si>
  <si>
    <t>Status do último pedido de portabilidade de chave PIX contra, acompanha a variável de data.</t>
  </si>
  <si>
    <t>NÃO EFETIVADO
EFETIVADO</t>
  </si>
  <si>
    <t>instant_payment_portability_against_last_status</t>
  </si>
  <si>
    <t>_santanderamerica.product_services_cus.instant_payment.prtab.mobile_request_bnk_name</t>
  </si>
  <si>
    <t>mobile_request_bnk_name</t>
  </si>
  <si>
    <t>Nome do banco origem do último pedido de portabilidade de chave PIX à favor (Telefone)</t>
  </si>
  <si>
    <t>Nome do banco origem do último pedido de portabilidade de chave PIX à favor (CPF)</t>
  </si>
  <si>
    <t>CAIXA ECONOMICA FEDERAL
ITAU UNIBANCO S.A
PICPAY INSTITUICAO DE PAGAMENTO S/A</t>
  </si>
  <si>
    <t>g_stbr_c360.product_services_cus</t>
  </si>
  <si>
    <t>instant_payment_portability_mobile_request_bank_name</t>
  </si>
  <si>
    <t>_santanderamerica.product_services_cus.instant_payment.prtab.mobile_request_lst_dte</t>
  </si>
  <si>
    <t>mobile_request_lst_dte</t>
  </si>
  <si>
    <t>Data do último pedido de portabilidade de chave PIX à favor  (Telefone)</t>
  </si>
  <si>
    <t>Considerar a data mais recente, onde o tipo de portabilidade é a favor.</t>
  </si>
  <si>
    <t>2025-06-30
2025-06-26
2025-06-02</t>
  </si>
  <si>
    <t>instant_payment_portability_mobile_request_last_date</t>
  </si>
  <si>
    <t>_santanderamerica.product_services_cus.instant_payment.prtab.mobile_request_lst_sta</t>
  </si>
  <si>
    <t>mobile_request_lst_sta</t>
  </si>
  <si>
    <t>Status do último pedido de portabilidade de chave PIX à favor (Telefone)</t>
  </si>
  <si>
    <t>Status do último pedido de portabilidade - considerar a data mais recente, onde o tipo de portabilidade é a favor</t>
  </si>
  <si>
    <t>instant_payment_portability_mobile_request_last_status</t>
  </si>
  <si>
    <t>_santanderamerica.product_services_cus.instant_payment.prtab.ssn_request_bnk_name</t>
  </si>
  <si>
    <t>ssn_request_bnk_name</t>
  </si>
  <si>
    <t>instant_payment_portability_ssn_request_bank_name</t>
  </si>
  <si>
    <t>_santanderamerica.product_services_cus.instant_payment.prtab.ssn_request_lst_dte</t>
  </si>
  <si>
    <t>ssn_request_lst_dte</t>
  </si>
  <si>
    <t>Data do último pedido de portabilidade de chave PIX à favor (CPF) Cliente</t>
  </si>
  <si>
    <t>2025-06-26
2025-06-02
2025-06-12</t>
  </si>
  <si>
    <t>31/12/9999
NULL</t>
  </si>
  <si>
    <t>instant_payment_portability_ssn_request_last_date</t>
  </si>
  <si>
    <t>_santanderamerica.product_services_cus.instant_payment.prtab.ssn_request_lst_sta</t>
  </si>
  <si>
    <t>ssn_request_lst_sta</t>
  </si>
  <si>
    <t>Status do último pedido de portabilidade de chave PIX à favor (CPF) Cliente</t>
  </si>
  <si>
    <t>instant_payment_portability_ssn_request_last_status</t>
  </si>
  <si>
    <t>_santanderamerica.product_services_cus.instant_payment.social_security_number_indicator</t>
  </si>
  <si>
    <t>social_security_number_indicator</t>
  </si>
  <si>
    <t>Social Security Number Indicator</t>
  </si>
  <si>
    <t>Quantidade de cadastros da chave pix CPF</t>
  </si>
  <si>
    <t>qt_chav_ativ_cpf</t>
  </si>
  <si>
    <t>_santanderamerica.product_services_cus.instant_payment.social_security_number_registration_last_date</t>
  </si>
  <si>
    <t>social_security_number_registration_last_date</t>
  </si>
  <si>
    <t>Instant Payment Social Security Number Last Date</t>
  </si>
  <si>
    <t>Data do último cadastro de CPF como chave pix</t>
  </si>
  <si>
    <t>dt_ulti_chav_cadr_cpf</t>
  </si>
  <si>
    <t>_santanderamerica.product_services_cus.pyrll_prtab.against_request_accepted_indicator</t>
  </si>
  <si>
    <t>against_request_accepted_indicator</t>
  </si>
  <si>
    <t>Portabilidade contra efetivada</t>
  </si>
  <si>
    <t>Identificar clientes que efetivaram uma portabilidade contra recentemente</t>
  </si>
  <si>
    <t>g_stbr_c360.cntr_prop_serv_prtb_efet</t>
  </si>
  <si>
    <t>qt_traf_salr_ctra_efet</t>
  </si>
  <si>
    <t>qt_traf_salr_ctra_efet &gt; 0</t>
  </si>
  <si>
    <t>_santanderamerica.product_services_cus.pyrll_prtab.against_request_accepted_last_date</t>
  </si>
  <si>
    <t>against_request_accepted_last_date</t>
  </si>
  <si>
    <t>Última data de portabilidade contra efetivada</t>
  </si>
  <si>
    <t>dt_ulti_prtb_ctra_efet</t>
  </si>
  <si>
    <t>_santanderamerica.product_services_cus.pyrll_prtab.against_request_last_date</t>
  </si>
  <si>
    <t>against_request_last_date</t>
  </si>
  <si>
    <t>Última data de pedido de portabilidade contra</t>
  </si>
  <si>
    <t>Data mais recente do pedido de portabilidade contra do cliente</t>
  </si>
  <si>
    <t>10/06/2020
08/09/2021
02/05/2020</t>
  </si>
  <si>
    <t>g_stbr_c360.cntr_prop_serv_prtb</t>
  </si>
  <si>
    <t>dt_ulti_soli_prtb_salr_cip (Data); ds_ulti_soli_prtb_salr_cip (Contra)</t>
  </si>
  <si>
    <t>ds_ulti_soli_prtb_salr_cip = 'Contra'</t>
  </si>
  <si>
    <t>_santanderamerica.product_services_cus.pyrll_prtab.against_request_last_status</t>
  </si>
  <si>
    <t>against_request_last_status</t>
  </si>
  <si>
    <t>Status úlimo pedido de portabilidade contra</t>
  </si>
  <si>
    <t>Verificar clientes que tiveram o pedido de portabilidade contra aprovado ou negado</t>
  </si>
  <si>
    <t>002
003
006</t>
  </si>
  <si>
    <t>cd_situ_ulti_soli_prtb_salr_cip</t>
  </si>
  <si>
    <t>where ds_ulti_soli_prtb_salr_cip = 'contra'</t>
  </si>
  <si>
    <t>_santanderamerica.product_services_cus.pyrll_prtab.against_request_withholding_last_date</t>
  </si>
  <si>
    <t>against_request_withholding_last_date</t>
  </si>
  <si>
    <t>Última data de portabilidade contra retida</t>
  </si>
  <si>
    <t>Data do último pedido de portabilidade contra que possui o status "cancelado"</t>
  </si>
  <si>
    <t>dt_ulti_soli_peri_rete_prtb_cip</t>
  </si>
  <si>
    <t>_santanderamerica.product_services_cus.pyrll_prtab.rejection_reason</t>
  </si>
  <si>
    <t>rejection_reason</t>
  </si>
  <si>
    <t>Rejection Reason</t>
  </si>
  <si>
    <t>Motivo de negativa da última portabilidade</t>
  </si>
  <si>
    <t>Identificar clientes com negativa na portabilidade</t>
  </si>
  <si>
    <t>CNPJ empregador não encontrado
CPF do beneficiário não encontrado)
Desistência do Cliente</t>
  </si>
  <si>
    <t>ds_moti_ulti_soli_prtb_salr_rpro_cip</t>
  </si>
  <si>
    <t>_santanderamerica.product_services_cus.pyrll_prtab.request_last_date</t>
  </si>
  <si>
    <t>request_last_date</t>
  </si>
  <si>
    <t>Data do último pedido de portabilidade à favor</t>
  </si>
  <si>
    <t>Data de portabilidade à favor mais recente</t>
  </si>
  <si>
    <t>dt_ulti_soli_prtb_salr_cip (Data); ds_ulti_soli_prtb_salr_cip (A favor)</t>
  </si>
  <si>
    <t>ds_ulti_soli_prtb_salr_cip = 'A Favor'</t>
  </si>
  <si>
    <t>_santanderamerica.product_services_cus.pyrll_prtab.request_last_status</t>
  </si>
  <si>
    <t>request_last_status</t>
  </si>
  <si>
    <t>Status úlimo pedido de portabilidade a favor</t>
  </si>
  <si>
    <t>Verificar clientes que tiveram o pedido de portabilidade à favor aprovado ou negado</t>
  </si>
  <si>
    <t>where ds_ulti_soli_prtb_salr_cip = 'a favor'</t>
  </si>
  <si>
    <t>_santanderamerica.product_services_cus.pyrll_prtab.slry_based_rte</t>
  </si>
  <si>
    <t>slry_based_rte</t>
  </si>
  <si>
    <t>salary_based_rate</t>
  </si>
  <si>
    <t>Portabilidade à favor de salário - Posse</t>
  </si>
  <si>
    <t>Identificar clientes que efetivaram uma portabilidadeà favor recentemente</t>
  </si>
  <si>
    <t>qt_traf_salr_afav_efet</t>
  </si>
  <si>
    <t>qt_traf_salr_afav_efet &gt; 0</t>
  </si>
  <si>
    <t>_santanderamerica.product_services_cus.wal_cr.aple_py_flg</t>
  </si>
  <si>
    <t>aple_py_flg</t>
  </si>
  <si>
    <t>Wallet Apple cadastradado cartão</t>
  </si>
  <si>
    <t>Wallet que o cliente possui cadastrado</t>
  </si>
  <si>
    <t>g_stbr_c360.posi_movi_crto_cart</t>
  </si>
  <si>
    <t>in_tran_crto_apple</t>
  </si>
  <si>
    <t>_santanderamerica.product_services_cus.wal_cr.goog_py_flg</t>
  </si>
  <si>
    <t>goog_py_flg</t>
  </si>
  <si>
    <t>Wallet Google cadastradado cartão</t>
  </si>
  <si>
    <t>in_tran_crto_ggle</t>
  </si>
  <si>
    <t>_santanderamerica.product_services_cus.wal_cr.samsg_py_flg</t>
  </si>
  <si>
    <t>samsg_py_flg</t>
  </si>
  <si>
    <t>Wallet Samsung cadastradado cartão</t>
  </si>
  <si>
    <t>in_tran_crto_smsg</t>
  </si>
  <si>
    <r>
      <rPr>
        <strike/>
        <sz val="11"/>
        <color theme="1"/>
        <rFont val="Aptos Narrow"/>
        <family val="2"/>
        <scheme val="minor"/>
      </rPr>
      <t>_santanderamerica.propension_model.account_balance_evasion_indicator</t>
    </r>
    <r>
      <rPr>
        <sz val="11"/>
        <color theme="1"/>
        <rFont val="Aptos Narrow"/>
        <family val="2"/>
        <scheme val="minor"/>
      </rPr>
      <t xml:space="preserve">
 _santanderamerica.propension_model.acc_bl_evsn_clu</t>
    </r>
  </si>
  <si>
    <r>
      <rPr>
        <strike/>
        <sz val="11"/>
        <color theme="1"/>
        <rFont val="Aptos Narrow"/>
        <family val="2"/>
        <scheme val="minor"/>
      </rPr>
      <t>account_balance_evasion_indicator</t>
    </r>
    <r>
      <rPr>
        <sz val="11"/>
        <color theme="1"/>
        <rFont val="Aptos Narrow"/>
        <family val="2"/>
        <scheme val="minor"/>
      </rPr>
      <t xml:space="preserve">
acc_bl_evsn_clu</t>
    </r>
  </si>
  <si>
    <r>
      <rPr>
        <strike/>
        <sz val="11"/>
        <color theme="1"/>
        <rFont val="Aptos Narrow"/>
        <family val="2"/>
        <scheme val="minor"/>
      </rPr>
      <t>Account Balance Evasion Indicator</t>
    </r>
    <r>
      <rPr>
        <sz val="11"/>
        <color theme="1"/>
        <rFont val="Aptos Narrow"/>
        <family val="2"/>
        <scheme val="minor"/>
      </rPr>
      <t xml:space="preserve">
acc_bl_evsn_clu</t>
    </r>
  </si>
  <si>
    <t>Cluster de evasão do cliente</t>
  </si>
  <si>
    <t>Identificar clientes que evadem para tentar recuperar o investimento - Modelo Ezequiel</t>
  </si>
  <si>
    <t>Baxo Evasor II
Baixo Evador I
Alto Evasor I</t>
  </si>
  <si>
    <t>claf_perf_evas</t>
  </si>
  <si>
    <t>select    distinct nr_cpf_cnpj,
            claf_perf_evas,
            ROW_NUMBER() OVER (PARTITION BY nr_cpf_cnpj ORDER BY 
              CASE  WHEN claf_perf_evas = 'Alto Evasor I' THEN 1
                    WHEN claf_perf_evas = 'Alto Evasor II' THEN 2
                    WHEN claf_perf_evas = 'Baixo Evasor I' THEN 3
                    WHEN claf_perf_evas = 'Baixo Evasor II' THEN 4
                    WHEN claf_perf_evas = 'Médio Evasor' THEN 5
                    WHEN claf_perf_evas = 'Evasor S/ Mapeamento' THEN 6
              ELSE 7 END
            ) AS RN
  from      s_stbr_drm_nba.ezql_pf 
  where     am_refe = (select max(am_refe) from s_stbr_drm_nba.ezql_pf)</t>
  </si>
  <si>
    <t xml:space="preserve">_santanderamerica.propension_model.brkg_cus_evsn_l12m_bnk_name </t>
  </si>
  <si>
    <t xml:space="preserve">brkg_cus_evsn_l12m_bnk_name </t>
  </si>
  <si>
    <t>Nome do banco com maior valor de evasão nos últimos 12 meses</t>
  </si>
  <si>
    <t xml:space="preserve">Nome do banco destinatário da evasão com maior valor de evasão acumulado nos últimos 12 meses. Identificar clientes que fazem pix de mesma titularidade para outros bancos para fomentar Open Finance. </t>
  </si>
  <si>
    <t>NU PAGAMENTOS S. A.
CAIXA ECONOMICA FEDERAL
BANCO ITAU S.A.</t>
  </si>
  <si>
    <t>s_stbr_drm_apc.cdp_pfle_mode</t>
  </si>
  <si>
    <t>nm_banc</t>
  </si>
  <si>
    <t>with ezequiel_12m as (
select  cast(nr_cpf_cnpj as bigint) as nr_cpf_cnpj,
        nm_banc, 
        sum(nvl(vl_said_mesm_titl,0)) as vl_said_mesm_titl_12m 
from    s_stbr_drm_nba.ezql_pf
where   am_refe between DATE_FORMAT(DATE_ADD(MONTH, -12, DATE_TRUNC('month', CURRENT_DATE())), 'yyyyMM')
and     DATE_FORMAT(DATE_ADD(MONTH, -1, DATE_TRUNC('month', CURRENT_DATE())), 'yyyyMM')
and     vl_said_mesm_titl &gt; 0
group by 1,2
)
select  nr_cpf_cnpj, 
        nm_banc as campo_origem 
from (
      select    *, 
                row_number() over (partition by nr_cpf_cnpj order by vl_said_mesm_titl_12m desc) as rn
      from      ezequiel_12m
     ) 
where    rn = 1 
and      nr_cpf_cnpj in (select cast(nr_cpf as bigint) from prd.s_stbr_drm_apc.cdp_pfle_mode)
and      nr_cpf_cnpj is not null 
and      nm_banc is not null</t>
  </si>
  <si>
    <t xml:space="preserve">_santanderamerica.propension_model.brkg_cus_evsn_lst_dte_bnk_name </t>
  </si>
  <si>
    <t xml:space="preserve">brkg_cus_evsn_lst_dte_bnk_name </t>
  </si>
  <si>
    <t>Nome do banco destinatário da evasão mais recente</t>
  </si>
  <si>
    <t xml:space="preserve">Nome do banco destinatário da evasão mais recente. Identificar clientes que fazem pix de mesma titularidade para outros bancos para fomentar Open Finance. </t>
  </si>
  <si>
    <t>with ezequiel_12m as (
select  cast(nr_cpf_cnpj as bigint) as nr_cpf_cnpj,
        nm_banc, 
        row_number() over(partition by nr_cpf_cnpj order by am_refe desc, vl_said_mesm_titl desc) as rn
from    s_stbr_drm_nba.ezql_pf
where   am_refe between DATE_FORMAT(DATE_ADD(MONTH, -12, DATE_TRUNC('month', CURRENT_DATE())), 'yyyyMM')
and     DATE_FORMAT(DATE_ADD(MONTH, -1, DATE_TRUNC('month', CURRENT_DATE())), 'yyyyMM')
and     vl_said_mesm_titl &gt; 0
)
select  nr_cpf_cnpj, 
        nm_banc as campo_origem 
from    ezequiel_12m
where    rn = 1 
and      nr_cpf_cnpj in (select cast(nr_cpf as bigint) from prd.s_stbr_drm_apc.cdp_pfle_mode)
and      nr_cpf_cnpj is not null 
and      nm_banc is not null</t>
  </si>
  <si>
    <t>_santanderamerica.propension_model.brokerage_balance_evasion_last_date</t>
  </si>
  <si>
    <t>brokerage_balance_evasion_last_date</t>
  </si>
  <si>
    <t>Balance Brokerage Evasion Last Date</t>
  </si>
  <si>
    <t>Evasão Investimentos - Última Data</t>
  </si>
  <si>
    <t>Data da última transação de mesma titularidade para corretoras</t>
  </si>
  <si>
    <t>select    nr_pess,
            nr_cpf_cnpj,
            cd_tipo_pess,
            max(maior_data_ted) as maior_data
  from (
    select  nr_pess,
            nr_cpf_cnpj,
            cd_tipo_pess,
            max(dt_refe) as maior_data_ted
    from    g_stbr_c360.cmtt_tran_finc_ted
    where   qt_traf_ted_corr_mesm_titl_envi &gt; 0 
    group by nr_pess,
            nr_cpf_cnpj,
            cd_tipo_pess
    union all
    select  nr_pess,
            nr_cpf_cnpj,
            cd_tipo_pess,
            max(dt_refe) as maior_data_pix
    from    g_stbr_c360.cmtt_tran_finc_pix
    where   qt_traf_pix_corr_mesm_titl_envi &gt; 0
    group by nr_pess,
            nr_cpf_cnpj,
            cd_tipo_pess
  )
  group by  nr_pess,
            nr_cpf_cnpj,
            cd_tipo_pess</t>
  </si>
  <si>
    <t>_santanderamerica.propension_model.cc_upgrd_score</t>
  </si>
  <si>
    <t>cc_upgrd_score</t>
  </si>
  <si>
    <t>Propensão a upgrade de cartão</t>
  </si>
  <si>
    <t>1
4
7</t>
  </si>
  <si>
    <t>_santanderamerica.propension_model.credit_card_settlement_installment_plan_score</t>
  </si>
  <si>
    <t>credit_card_settlement_installment_plan_score</t>
  </si>
  <si>
    <t>Credit Card Settlement Installment Plan Score</t>
  </si>
  <si>
    <t>Modelo de propensão a contratação de parcelamento de fatura</t>
  </si>
  <si>
    <t>Segmentação de clientes propensos a contratação do produto</t>
  </si>
  <si>
    <t>10
1
9</t>
  </si>
  <si>
    <t>s_stbr_drm_nba.clie_score_mode</t>
  </si>
  <si>
    <t>11051406 - Propensão a contratação de Total Parcelado (TP) ou Parcelamento de Fatura (PF) para Correntista (CC)
11051405 - Propensão a contratação de Total Parcelado (TP) ou Parcelamento de Fatura (PF) para Monocartonista (CMC)</t>
  </si>
  <si>
    <t>_santanderamerica.propension_model.customer_rating</t>
  </si>
  <si>
    <t>customer_rating</t>
  </si>
  <si>
    <t>Customer Rating</t>
  </si>
  <si>
    <t>Valor do modelo de classificação do prospect</t>
  </si>
  <si>
    <t>Aquisição de novos clientes</t>
  </si>
  <si>
    <t>8
9
7</t>
  </si>
  <si>
    <t>vl_rtng_shan</t>
  </si>
  <si>
    <t>case
        when a.ds_class_rtng = 'bau - rating shannon' then cast(a.vl_rtng_shan as int)
        when a.ds_class_rtng = 'desafiante - rating novo' then cast(a.nr_rtng_fina as int)
end as rating</t>
  </si>
  <si>
    <t>_santanderamerica.propension_model.deposit_prize_linked_first_acquisition_score</t>
  </si>
  <si>
    <t>deposit_prize_linked_first_acquisition_score</t>
  </si>
  <si>
    <t>Deposit Prize-Linked First Acquisition Score</t>
  </si>
  <si>
    <t>Modelo de propensão à primeira contratação de capitalização</t>
  </si>
  <si>
    <t>00000145 - Propensão de contratação de Primeira Capitalização (Cap)</t>
  </si>
  <si>
    <t>_santanderamerica.propension_model.deposit_prize_linked_second_acquisition_score</t>
  </si>
  <si>
    <t>deposit_prize_linked_second_acquisition_score</t>
  </si>
  <si>
    <t>Deposit Prize-Linked Second Acquisition Score</t>
  </si>
  <si>
    <t>Modelo de propensão à segunda contratação de capitalização</t>
  </si>
  <si>
    <t>13050101 - Propensão de contratação de Capitalização (Cap)</t>
  </si>
  <si>
    <t>_santanderamerica.propension_model.foreing_exchange_evasion_last_date</t>
  </si>
  <si>
    <t>foreing_exchange_evasion_last_date</t>
  </si>
  <si>
    <t>Foreing Exchange Evasion Last Date</t>
  </si>
  <si>
    <t>Data da última evasão de câmbio</t>
  </si>
  <si>
    <t>01/20/2025
01/06/2025
01/13/2025</t>
  </si>
  <si>
    <t>select    nr_pess,
            nr_cpf_cnpj,
            cd_tipo_pess,
            max(maior_data_ted) as maior_data
  from (
    select  nr_pess,
            nr_cpf_cnpj,
            cd_tipo_pess,
            max(dt_refe) as maior_data_ted
    from    g_stbr_c360.cmtt_tran_finc_ted
    where   qt_traf_ted_camb_envi &gt; 0 
    group by nr_pess,
            nr_cpf_cnpj,
            cd_tipo_pess
    union all
    select  nr_pess,
            nr_cpf_cnpj,
            cd_tipo_pess,
            max(dt_refe) as maior_data_pix
    from    g_stbr_c360.cmtt_tran_finc_pix
    where   qt_traf_pix_camb_envi &gt; 0
    group by nr_pess,
            nr_cpf_cnpj,
            cd_tipo_pess
  )
  group by  nr_pess,
            nr_cpf_cnpj,
            cd_tipo_pess</t>
  </si>
  <si>
    <t>_santanderamerica.propension_model.microcredit_acq_score</t>
  </si>
  <si>
    <t>microcredit_acq_score</t>
  </si>
  <si>
    <t>Propensão a aquisição de super crédito</t>
  </si>
  <si>
    <t>dc_mode</t>
  </si>
  <si>
    <t>select      nr_cpf_cnpj, 
            nvl(dc_mode, 0) as sc_prpe_aqui_supe_cred
from        s_stbr_drm_nba.clie_score_mode
where       cd_mode = '11051407'
and         am_refe = (select max(am_refe) from s_stbr_drm_nba.clie_score_mode where cd_mode = '11051407')
and         dt_refe_crga = (select max(dt_refe_crga) from s_stbr_drm_nba.clie_score_mode where cd_mode = '11051407')</t>
  </si>
  <si>
    <t>_santanderamerica.propension_model.pers_ln_frst_acq_nxt_mth_scr</t>
  </si>
  <si>
    <t>pers_ln_frst_acq_nxt_mth_scr</t>
  </si>
  <si>
    <t>Propensão para um cliente, sem posse de CP, adquirir um contrato de CP no mês seguinte</t>
  </si>
  <si>
    <t>Propensão para um cliente, sem posse de CP, adquirir um contrato de CP no mês seguinte. https://confluence.santanderbr.corp/display/DLS/Menu+de+Modelos</t>
  </si>
  <si>
    <t>cd_mode = 36010102</t>
  </si>
  <si>
    <t>_santanderamerica.propension_model.pers_ln_frst_acq_scr</t>
  </si>
  <si>
    <t>pers_ln_frst_acq_scr</t>
  </si>
  <si>
    <t>Propensão de contratação de credito pessoal para clientes sem posse anterior</t>
  </si>
  <si>
    <t>Propensão de contratação de credito pessoal para clientes sem posse anterior. https://confluence.santanderbr.corp/display/DLS/Menu+de+Modelos</t>
  </si>
  <si>
    <t>cd_mode = 36010103</t>
  </si>
  <si>
    <t>_santanderamerica.propension_model.personal_loan_payroll_deduction_acquisition_score</t>
  </si>
  <si>
    <t>personal_loan_payroll_deduction_acquisition_score</t>
  </si>
  <si>
    <t>Personal Loan Payroll Deduction Acquisition Score</t>
  </si>
  <si>
    <t>Modelo de propensão a contratação de consignado</t>
  </si>
  <si>
    <t>_santanderamerica.propension_model.prosp_acc_acq_score</t>
  </si>
  <si>
    <t>prosp_acc_acq_score</t>
  </si>
  <si>
    <t>Score de potencial do cliente</t>
  </si>
  <si>
    <t>10
6
5</t>
  </si>
  <si>
    <t>sc_clie_sub_seg</t>
  </si>
  <si>
    <r>
      <rPr>
        <strike/>
        <sz val="11"/>
        <color theme="1"/>
        <rFont val="Aptos Narrow"/>
        <family val="2"/>
        <scheme val="minor"/>
      </rPr>
      <t>_santanderamerica.regression_model.investment_potencial_value_amount</t>
    </r>
    <r>
      <rPr>
        <sz val="11"/>
        <color theme="1"/>
        <rFont val="Aptos Narrow"/>
        <family val="2"/>
        <scheme val="minor"/>
      </rPr>
      <t xml:space="preserve">
_santanderamerica.regression_model.ivtmt_potencial_val_mt</t>
    </r>
  </si>
  <si>
    <r>
      <rPr>
        <strike/>
        <sz val="11"/>
        <color theme="1"/>
        <rFont val="Aptos Narrow"/>
        <family val="2"/>
        <scheme val="minor"/>
      </rPr>
      <t>investment_potencial_value_amount</t>
    </r>
    <r>
      <rPr>
        <sz val="11"/>
        <color theme="1"/>
        <rFont val="Aptos Narrow"/>
        <family val="2"/>
        <scheme val="minor"/>
      </rPr>
      <t xml:space="preserve">
ivtmt_potencial_val_mt</t>
    </r>
  </si>
  <si>
    <r>
      <rPr>
        <strike/>
        <sz val="11"/>
        <color rgb="FF000000"/>
        <rFont val="Aptos Narrow"/>
        <family val="2"/>
        <scheme val="minor"/>
      </rPr>
      <t xml:space="preserve">Investment Potencial Value Amount
</t>
    </r>
    <r>
      <rPr>
        <sz val="11"/>
        <color rgb="FF000000"/>
        <rFont val="Aptos Narrow"/>
        <family val="2"/>
        <scheme val="minor"/>
      </rPr>
      <t>ivtmt_potencial_val_mt</t>
    </r>
  </si>
  <si>
    <t>Valor potencial de investimento</t>
  </si>
  <si>
    <t>Identificar clientes com alto ou baixo potencial de investimento</t>
  </si>
  <si>
    <t>2975.73
3530.8
7442.42</t>
  </si>
  <si>
    <t>0
-1
NULL</t>
  </si>
  <si>
    <t>s_stbr_drm_nba.pote_inve</t>
  </si>
  <si>
    <t>score</t>
  </si>
  <si>
    <t>Risk Profile Schema</t>
  </si>
  <si>
    <t>_santanderamerica.risk_metrics_cus.clltn_msg_flg</t>
  </si>
  <si>
    <t>clltn_msg_flg</t>
  </si>
  <si>
    <t>Indicicador de elegibilidade para recebimento de comunicações de cobrança via SMS/Mensagem WhatsApp</t>
  </si>
  <si>
    <t>g_stbr_c360.risk_metrics_cus</t>
  </si>
  <si>
    <t>collection_message_indicator</t>
  </si>
  <si>
    <t>_santanderamerica.risk_metrics_cus.complaint_issue_indicator</t>
  </si>
  <si>
    <t>complaint_issue_indicator</t>
  </si>
  <si>
    <t>Indicador de cliente com atrito</t>
  </si>
  <si>
    <t>G_STBR_C360.OMNI_MANI</t>
  </si>
  <si>
    <t>QT_MANI_TOTL, QT_MANI_RESV</t>
  </si>
  <si>
    <t xml:space="preserve">WHEN SUM(A.QT_MANI_TOTL - A.QT_MANI_RESV) &lt;&gt; 0 
        THEN 1 
        ELSE 0 </t>
  </si>
  <si>
    <t>_santanderamerica.risk_metrics_cus.deb.reneg_mt</t>
  </si>
  <si>
    <t>reneg_mt</t>
  </si>
  <si>
    <t>Valor de risco total</t>
  </si>
  <si>
    <t>Essa variável é todo o saldo [devedor] que o cliente tem tomado no momento, ele soma todos os saldos que o cliente tem e representa nessa coluna. Produtos: Adiantamento a Depositantes,Conta Garantida,Cartão de Crédito,  CDC, Leasing e Autos Canal Interno, Capital de Giro, Capital de Giro Bonificado, Capital de Giro Canais, Preventivo, Recebíveis, Produtos renegociáveis, Demais produtos</t>
  </si>
  <si>
    <t>18.5
37
9.99</t>
  </si>
  <si>
    <t>prelimit_debt_renegotiation_amount</t>
  </si>
  <si>
    <t>_santanderamerica.risk_metrics_cus.deb_ltgtn_tot_nr</t>
  </si>
  <si>
    <t>deb_ltgtn_tot_nr</t>
  </si>
  <si>
    <t>Quantidade de processos em ajuizamento</t>
  </si>
  <si>
    <t>Indicador de que o cliente possui um processo em ajuizamento para execução das garantias relacionadas a contratos de credito</t>
  </si>
  <si>
    <t>19
9
8</t>
  </si>
  <si>
    <t>debt_litigation_total_number</t>
  </si>
  <si>
    <t>_santanderamerica.risk_metrics_cus.debt_total_amount</t>
  </si>
  <si>
    <t>debt_total_amount</t>
  </si>
  <si>
    <t>Debt Total Amount</t>
  </si>
  <si>
    <t>Valor total da divida ativa no Serasa</t>
  </si>
  <si>
    <t>0.01
64.88
100</t>
  </si>
  <si>
    <t>g_stbr_c360.risc_exte_serasa</t>
  </si>
  <si>
    <t>vl_totl_divi_ativ</t>
  </si>
  <si>
    <t>_santanderamerica.risk_metrics_cus.delinquency_code</t>
  </si>
  <si>
    <t>delinquency_code</t>
  </si>
  <si>
    <t>Delinquency Code</t>
  </si>
  <si>
    <t>Código de restrição para aquisição de conta</t>
  </si>
  <si>
    <t>708
528
451</t>
  </si>
  <si>
    <t>cd_rstr</t>
  </si>
  <si>
    <t>_santanderamerica.risk_metrics_cus.dqcy_restd_list_flg</t>
  </si>
  <si>
    <t>dqcy_restd_list_flg</t>
  </si>
  <si>
    <t>Indicador LY</t>
  </si>
  <si>
    <t>Indicador de clientes que possuem contratos em LY</t>
  </si>
  <si>
    <t>delinquency_restricted_list_indicator</t>
  </si>
  <si>
    <t>_santanderamerica.risk_metrics_cus.elegible_customer_deb_reneg_priority_nr</t>
  </si>
  <si>
    <t>elegible_customer_deb_reneg_priority_nr</t>
  </si>
  <si>
    <t>Prioridade na agenda (URA)</t>
  </si>
  <si>
    <t>5
7
3</t>
  </si>
  <si>
    <t>elegible_customer_debt_renegotiation_priority_number</t>
  </si>
  <si>
    <t>_santanderamerica.risk_metrics_cus.le_lim.cc_incrse_descr</t>
  </si>
  <si>
    <t>cc_incrse_descr</t>
  </si>
  <si>
    <t>Descrição da marcação liberada por riscos para aumento de limite receptivo ou ativo.</t>
  </si>
  <si>
    <t>Acompanha a variável de pré aprovado para segundi cartão, para auxiiar a segmentação de estratégia para aquisição de cartão ou upgrade.</t>
  </si>
  <si>
    <t>A. Aumento Ativo
B. Aumento Receptivo
D. Atualização de Renda</t>
  </si>
  <si>
    <t>tp_eleg_aumn_limi_crto</t>
  </si>
  <si>
    <t>_santanderamerica.risk_metrics_cus.monthly_income</t>
  </si>
  <si>
    <t>monthly_income</t>
  </si>
  <si>
    <t>Monthly Income</t>
  </si>
  <si>
    <t>Renda presumida do cliente</t>
  </si>
  <si>
    <t>Usado para segmentação de cliente baseado na renda presumida de riscos</t>
  </si>
  <si>
    <t>1523
1516
1520</t>
  </si>
  <si>
    <t>g_stbr_c360.risc_rend_calc</t>
  </si>
  <si>
    <t>vl_rend_prsm</t>
  </si>
  <si>
    <t>_santanderamerica.risk_metrics_cus.monthly_income_declared_amount</t>
  </si>
  <si>
    <t>monthly_income_declared_amount</t>
  </si>
  <si>
    <t>monthly Income Declared Amount</t>
  </si>
  <si>
    <t>Renda declarada pelo cliente no cadastro</t>
  </si>
  <si>
    <t>Usado para segmentação do cliente</t>
  </si>
  <si>
    <t>2000
2500
3000</t>
  </si>
  <si>
    <t>vl_rend_fina</t>
  </si>
  <si>
    <t>_santanderamerica.risk_metrics_cus.mthly_incm_decl_upd_lst_dte</t>
  </si>
  <si>
    <t>mthly_incm_decl_upd_lst_dte</t>
  </si>
  <si>
    <t>Data de atualização da renda</t>
  </si>
  <si>
    <t>Traz última data de movimentação de renda</t>
  </si>
  <si>
    <t>monthly_income_declared_update_last_date</t>
  </si>
  <si>
    <t>_santanderamerica.risk_metrics_cus.prelimit.account.ovdf_mt_typ</t>
  </si>
  <si>
    <t>ovdf_mt_typ</t>
  </si>
  <si>
    <t>Classificação de aumento ou concessão de cheque especial (considerando a última posição do cliente nos últimos 35 dias)</t>
  </si>
  <si>
    <t>Elegibilidade básica para oferta de cheque especial</t>
  </si>
  <si>
    <t>Aumento
Concessao</t>
  </si>
  <si>
    <t>ds_aumn_conc_ches</t>
  </si>
  <si>
    <t>select dt_refe,
       nr_pess,
       nr_cpf_cnpj,
       ds_aumn_conc_ches,
       vl_prap_cheq_espc_batch
from  (
        select dt_refe, nr_pess, nr_cpf_cnpj, ds_aumn_conc_ches, vl_prap_cheq_espc_batch,
        row_number() over (partition by nr_cpf_cnpj order by dt_refe desc) as rn
        from g_stbr_c360.cntr_prop_prap
        where dt_refe &gt;= date_add((select max(dt_refe) from g_stbr_c360.cntr_prop_prap), -35)
        and coalesce(vl_prap_cheq_espc_batch, 0) &gt; 0
      ) 
where rn = 1</t>
  </si>
  <si>
    <t>_santanderamerica.risk_metrics_cus.prelimit.account.overdraft_amount</t>
  </si>
  <si>
    <t>overdraft_amount</t>
  </si>
  <si>
    <t>Overdraft Amount</t>
  </si>
  <si>
    <t>Valor pré aprovado para aumento ou concessão de cheque especial (considerando a última posição do cliente nos últimos 35 dias)</t>
  </si>
  <si>
    <t>800
1500
500</t>
  </si>
  <si>
    <t>-1
0
NULL</t>
  </si>
  <si>
    <t>vl_prap_cheq_espc_batch</t>
  </si>
  <si>
    <t>_santanderamerica.risk_metrics_cus.prelimit.credit_card.amount</t>
  </si>
  <si>
    <t>amount</t>
  </si>
  <si>
    <t>Amount</t>
  </si>
  <si>
    <t>Valor do pré aprovado para contratação do primeiro cartão (prospect e cliente)</t>
  </si>
  <si>
    <t>Elegibilidade básica para contratação de cartões</t>
  </si>
  <si>
    <t>vl_prap_crto</t>
  </si>
  <si>
    <t>_santanderamerica.risk_metrics_cus.prelimit.credit_card.guaranteed_amount</t>
  </si>
  <si>
    <t>guaranteed_amount</t>
  </si>
  <si>
    <t>Guaranteed Amount</t>
  </si>
  <si>
    <t>Valor pré aprovado de oferta garantida</t>
  </si>
  <si>
    <t>Elegiblidade básica para oferta de prospect</t>
  </si>
  <si>
    <t>250
21000
19500</t>
  </si>
  <si>
    <t>vl_limi_crto_adms_ofer_gara</t>
  </si>
  <si>
    <t>_santanderamerica.risk_metrics_cus.prelimit.credit_card.last_date</t>
  </si>
  <si>
    <t>last_date</t>
  </si>
  <si>
    <t>Last Date</t>
  </si>
  <si>
    <t>Última data de ganho de pré aprovado de cartão de crédito (SWAP IN)</t>
  </si>
  <si>
    <t>Identificar clientes que fazem parte do Swap In (data do ganho nos últimos 7 dias)</t>
  </si>
  <si>
    <t>2025-04-03T03:00:00.000Z
2025-04-10T03:00:00.000Z
2025-04-02T03:00:00.000Z</t>
  </si>
  <si>
    <t>dt_ulti_ganh_prap_prmr_crto</t>
  </si>
  <si>
    <t>_santanderamerica.risk_metrics_cus.prelimit.credit_card.lim_diff_pct</t>
  </si>
  <si>
    <t>lim_diff_pct</t>
  </si>
  <si>
    <t>Variação entre o valor de PAP antes e depois do aumento (SWAP IN)</t>
  </si>
  <si>
    <t>prelimit_credit_card_limit_difference_percentage</t>
  </si>
  <si>
    <t>_santanderamerica.risk_metrics_cus.prelimit.credit_card.limit_difference_amount</t>
  </si>
  <si>
    <t>limit_difference_amount</t>
  </si>
  <si>
    <t>Limit Difference Amount</t>
  </si>
  <si>
    <t>Valor de aumento de limite pré aprovado do cartão (SWAP IN)</t>
  </si>
  <si>
    <t>Valor de SWAP IN</t>
  </si>
  <si>
    <t>100
200
300</t>
  </si>
  <si>
    <t>vl_maxi_limi_prap_prmr_crto_7_dias</t>
  </si>
  <si>
    <t>_santanderamerica.risk_metrics_cus.prelimit.credit_card.secndry_incrse_mt</t>
  </si>
  <si>
    <t>secndry_incrse_mt</t>
  </si>
  <si>
    <t>Valor pré aprovado para segundo cartão ou upgrade</t>
  </si>
  <si>
    <t>Elegibilidade básica para oferta de segundo cartão ou upgrade</t>
  </si>
  <si>
    <t>vl_prap_aumn_limi_crto</t>
  </si>
  <si>
    <t>_santanderamerica.risk_metrics_cus.prelimit.hmeln.mt</t>
  </si>
  <si>
    <t>mt</t>
  </si>
  <si>
    <t>Crédito Pessoal (CP) Use Casa - Valor PAP</t>
  </si>
  <si>
    <t>Valor de pré aprovado do Use Casa</t>
  </si>
  <si>
    <t>310961.54
395769.23
282692.31</t>
  </si>
  <si>
    <t>g_stbr_c360.cntr_prop_ucasa</t>
  </si>
  <si>
    <t>vl_prap_ucasa + in_eleg_aprv_ucasa</t>
  </si>
  <si>
    <t>select nr_cpf_cnpj, vl_prap_ucasa
from g_stbr_c360.cntr_prop_ucasa
where dt_refe = (select max(dt_refe) from g_stbr_c360.cntr_prop_ucasa)
  and in_eleg_aprv_ucasa = 'AP - Cliente Potencial'</t>
  </si>
  <si>
    <t>_santanderamerica.risk_metrics_cus.prelimit.hmeln.sec_flg</t>
  </si>
  <si>
    <t>sec_flg</t>
  </si>
  <si>
    <t>Indicador de pré aprovado para contratação de UseCasa +</t>
  </si>
  <si>
    <t>prelimit_home_equity_second_loan_indicator</t>
  </si>
  <si>
    <t>_santanderamerica.risk_metrics_cus.prelimit.micrln.mt</t>
  </si>
  <si>
    <t>Limite de Supercrédito Correntista/Mono</t>
  </si>
  <si>
    <t>Identificar clientes que possuem pré aprovado de limite de supercrédito para correntistas e mono. Se trata de um produto novo do banco, e é uma elegibilidade básica para comunicação com o cliente. Informações sobre o produto:https://www.santander.com.br/cartoes-santander/solucoes-de-pagamento/super-credito</t>
  </si>
  <si>
    <t>25000
23000
20000</t>
  </si>
  <si>
    <t>vl_prap_limi_supc</t>
  </si>
  <si>
    <t>_santanderamerica.risk_metrics_cus.prelimit.mortg.mt</t>
  </si>
  <si>
    <t>Crédito Imobiliario - Valor PAP</t>
  </si>
  <si>
    <t>Valor pré aprovado de crédito imobiliário</t>
  </si>
  <si>
    <t>g_stbr_c360.cntr_prop_crim</t>
  </si>
  <si>
    <t>vl_prap_crim + in_eleg_aprv_crim</t>
  </si>
  <si>
    <t>select nr_cpf_cnpj, vl_prap_crim, in_eleg_aprv_crim
from g_stbr_c360.cntr_prop_crim
where dt_refe = (select max(dt_refe) from g_stbr_c360.cntr_prop_crim)
  and in_eleg_aprv_crim = 'AP - Cliente Potencial'</t>
  </si>
  <si>
    <t>_santanderamerica.risk_metrics_cus.prelimit.personal_loan.amount</t>
  </si>
  <si>
    <t>Valor de pré aprovado para crédito pessoal (CP Puro)</t>
  </si>
  <si>
    <t>Elegbilidade básica para oferta de crédito pessoal (CP Puro)</t>
  </si>
  <si>
    <t>vl_prap_cp_clea</t>
  </si>
  <si>
    <t>_santanderamerica.risk_metrics_cus.prelimit.personal_loan.ivtmt_sec_mt</t>
  </si>
  <si>
    <t>ivtmt_sec_mt</t>
  </si>
  <si>
    <t>Valor pré aprovado de CP Investidor</t>
  </si>
  <si>
    <t>Elegibilidade básica para contratação de CP Investidor</t>
  </si>
  <si>
    <t>1000
10000
1500</t>
  </si>
  <si>
    <t>vl_prap_cp_inve_fina</t>
  </si>
  <si>
    <t>_santanderamerica.risk_metrics_cus.prelimit.personal_loan.payroll_amount</t>
  </si>
  <si>
    <t>payroll_amount</t>
  </si>
  <si>
    <t>Payroll Prelimit Amount</t>
  </si>
  <si>
    <t>Valor pré aprovado para consignado</t>
  </si>
  <si>
    <t>Elegbilidade básica para oferta de consignado</t>
  </si>
  <si>
    <t>310000
19918.16
40.32</t>
  </si>
  <si>
    <t>vl_prap_conn</t>
  </si>
  <si>
    <t>_santanderamerica.risk_metrics_cus.prelimit.personal_loan.preventive_credit_amount</t>
  </si>
  <si>
    <t>preventive_credit_amount</t>
  </si>
  <si>
    <t>Preventive Prelimit Amount</t>
  </si>
  <si>
    <t>Valor de pré aprovado para CP Preventivo</t>
  </si>
  <si>
    <t>400000
300000
250</t>
  </si>
  <si>
    <t>vl_prap_cp_prev</t>
  </si>
  <si>
    <t>_santanderamerica.risk_metrics_cus.prelimit.personal_loan.pyrll_mrgn_gain_lst_dte</t>
  </si>
  <si>
    <t>pyrll_mrgn_gain_lst_dte</t>
  </si>
  <si>
    <t>Última data de ganho de margem de consignado</t>
  </si>
  <si>
    <t>Quantidade de dias desde o fim do convenio de consignado que tiveram aumento de salário</t>
  </si>
  <si>
    <t>prelimit_personal_loan_payroll_margin_gain_last_date</t>
  </si>
  <si>
    <t>_santanderamerica.risk_metrics_cus.prelimit.personal_loan.pyrll_prevtv_reneg_tot_mt</t>
  </si>
  <si>
    <t>pyrll_prevtv_reneg_tot_mt</t>
  </si>
  <si>
    <t>Valor pré aprovado de consignado preventivo renegociação</t>
  </si>
  <si>
    <t>341000
1196.87
1207.5</t>
  </si>
  <si>
    <t>NULL
-1</t>
  </si>
  <si>
    <t>prelimit_personal_loan_payroll_preventive_renegotiated_total_amount</t>
  </si>
  <si>
    <t>_santanderamerica.risk_metrics_cus.prelimit.personal_loan.pyrll_prevtv_reorg_tot_mt</t>
  </si>
  <si>
    <t>pyrll_prevtv_reorg_tot_mt</t>
  </si>
  <si>
    <t>Valor pré aprovado de consignado preventivo reorg</t>
  </si>
  <si>
    <t>115.01
2300.01
575.01</t>
  </si>
  <si>
    <t>NULL
0
-1</t>
  </si>
  <si>
    <t>prelimit_personal_loan_payroll_preventive_reorganized_total_amount</t>
  </si>
  <si>
    <t>_santanderamerica.risk_metrics_cus.prelimit.personal_loan.pyrll_prevtv_unf_tot_mt</t>
  </si>
  <si>
    <t>pyrll_prevtv_unf_tot_mt</t>
  </si>
  <si>
    <t>Valor pré aprovado de consignado preventivo unificado</t>
  </si>
  <si>
    <t>341000
115
287.5</t>
  </si>
  <si>
    <t>prelimit_personal_loan_payroll_preventive_unified_total_amount</t>
  </si>
  <si>
    <t>_santanderamerica.risk_metrics_cus.prelimit.personal_loan.renewal_tot_mt</t>
  </si>
  <si>
    <t>renewal_tot_mt</t>
  </si>
  <si>
    <t>Indicador cliente pré-aprovado CP Renovado</t>
  </si>
  <si>
    <t>Elegibilidade básica para contratação de CP Renovado</t>
  </si>
  <si>
    <t>99999
89999
109999</t>
  </si>
  <si>
    <t>0
NULL
-1</t>
  </si>
  <si>
    <t>prelimit_personal_loan_renewal_total_amount</t>
  </si>
  <si>
    <t>_santanderamerica.risk_metrics_cus.prelimit.personal_loan.reorganized_preventive_amount</t>
  </si>
  <si>
    <t>reorganized_preventive_amount</t>
  </si>
  <si>
    <t>Reorganized Preventive Prelimit Amount</t>
  </si>
  <si>
    <t>Valor de pré aprovado de CP Preventivo (Reorg)</t>
  </si>
  <si>
    <t>150000
500
250</t>
  </si>
  <si>
    <t>vl_prap_cp_prev_reorg</t>
  </si>
  <si>
    <t>_santanderamerica.risk_metrics_cus.prelimit.personal_loan.unified_preventive_amount</t>
  </si>
  <si>
    <t>unified_preventive_amount</t>
  </si>
  <si>
    <t>Unified Preventive Prelimit Amount</t>
  </si>
  <si>
    <t>Valor de pré aprovado para CP Preventivo (Unificado)</t>
  </si>
  <si>
    <t>vl_prap_cp_prev_unif</t>
  </si>
  <si>
    <t>_santanderamerica.risk_metrics_cus.prelimit.realloc.cc_accepted_mt</t>
  </si>
  <si>
    <t>cc_accepted_mt</t>
  </si>
  <si>
    <t>Valor do cartão após o opt in</t>
  </si>
  <si>
    <t>Valor do cartão após o opt in (remanejamento)</t>
  </si>
  <si>
    <t>prelimit_reallocation_credit_card_accepted_amount</t>
  </si>
  <si>
    <t>_santanderamerica.risk_metrics_cus.prelimit.realloc.cc_initial_mt</t>
  </si>
  <si>
    <t>cc_initial_mt</t>
  </si>
  <si>
    <t>Valor do cartão antes do opt in</t>
  </si>
  <si>
    <t>Valor do cartão antes do opt in (remanejamento)</t>
  </si>
  <si>
    <t>prelimit_reallocation_credit_card_initial_amount</t>
  </si>
  <si>
    <t>_santanderamerica.risk_metrics_cus.prelimit.realloc.desc</t>
  </si>
  <si>
    <t>desc</t>
  </si>
  <si>
    <t>Ação de remanejameto pendente Opt In</t>
  </si>
  <si>
    <t>Descrição da ação de remanejamento</t>
  </si>
  <si>
    <t>De Cheque para Cartão
De Cartão para Cheque
N/A</t>
  </si>
  <si>
    <t>prelimit_reallocation_description</t>
  </si>
  <si>
    <t>_santanderamerica.risk_metrics_cus.prelimit.realloc.ovdft_accepted_mt</t>
  </si>
  <si>
    <t>ovdft_accepted_mt</t>
  </si>
  <si>
    <t>Valor do cheque especial após o opt in</t>
  </si>
  <si>
    <t>Valor do cheque especial após o opt in (remanejamento)</t>
  </si>
  <si>
    <t>prelimit_reallocation_overdraft_accepted_amount</t>
  </si>
  <si>
    <t>_santanderamerica.risk_metrics_cus.prelimit.realloc.ovdft_initial_mt</t>
  </si>
  <si>
    <t>ovdft_initial_mt</t>
  </si>
  <si>
    <t>Valor do cheque antes do opt in</t>
  </si>
  <si>
    <t>Valor do cheque antes do opt in (remanejamento)</t>
  </si>
  <si>
    <t>prelimit_reallocation_overdraft_initial_amount</t>
  </si>
  <si>
    <t>_santanderamerica.risk_metrics_cus.rating_credit_value</t>
  </si>
  <si>
    <t>rating_credit_value</t>
  </si>
  <si>
    <t>Rating Credit Value</t>
  </si>
  <si>
    <t>Rating do cliente</t>
  </si>
  <si>
    <t>Usado para segmentação de ofertas de crédito</t>
  </si>
  <si>
    <t>5
7
6</t>
  </si>
  <si>
    <t>vl_rtng_atul</t>
  </si>
  <si>
    <t>_santanderamerica.risk_metrics_cus.rating_severity_number</t>
  </si>
  <si>
    <t>rating_severity_number</t>
  </si>
  <si>
    <t>Rating Severity Number</t>
  </si>
  <si>
    <t>Grau de severidade do cliente</t>
  </si>
  <si>
    <t>4
3
5</t>
  </si>
  <si>
    <t>g_stbr_c360.risc_rstr_seve</t>
  </si>
  <si>
    <t>nr_grau_seve_inte_pe</t>
  </si>
  <si>
    <t>_santanderamerica.risk_metrics_cus.reneg_offer_pcy_code</t>
  </si>
  <si>
    <t>reneg_offer_pcy_code</t>
  </si>
  <si>
    <t>Código de elegibilidade à produtos preventivos</t>
  </si>
  <si>
    <t>Identificação dos clientes que estão elegíveis a contratação de CP Preventivo e estão categorizados como puro cartão (posse apenas de cartão). O dado será utilizado para, juntos dos demais já contidos na CDP, identificar e comunicar os clientes sobre a possibilidade de um contrato de CP Preventivo para organização de suas dívidas atuais com o cartão de crédito.</t>
  </si>
  <si>
    <t>P.20
P.19
P.15</t>
  </si>
  <si>
    <t>renegotiation_offer_policy_code</t>
  </si>
  <si>
    <r>
      <rPr>
        <strike/>
        <sz val="11"/>
        <color theme="1"/>
        <rFont val="Aptos Narrow"/>
        <family val="2"/>
        <scheme val="minor"/>
      </rPr>
      <t>_santanderamerica.risk_metrics_cus.renegotiation_policy_number</t>
    </r>
    <r>
      <rPr>
        <sz val="11"/>
        <color theme="1"/>
        <rFont val="Aptos Narrow"/>
        <family val="2"/>
        <scheme val="minor"/>
      </rPr>
      <t xml:space="preserve">
_santanderamerica.risk_metrics_cus.reneg_offer_flg</t>
    </r>
  </si>
  <si>
    <r>
      <rPr>
        <strike/>
        <sz val="11"/>
        <color theme="1"/>
        <rFont val="Aptos Narrow"/>
        <family val="2"/>
        <scheme val="minor"/>
      </rPr>
      <t>renegotiation_policy_number</t>
    </r>
    <r>
      <rPr>
        <sz val="11"/>
        <color theme="1"/>
        <rFont val="Aptos Narrow"/>
        <family val="2"/>
        <scheme val="minor"/>
      </rPr>
      <t xml:space="preserve">
reneg_offer_flg</t>
    </r>
  </si>
  <si>
    <t xml:space="preserve">Posse de oferta de acordo antecipado </t>
  </si>
  <si>
    <t>1; 0</t>
  </si>
  <si>
    <t>in_flag_acor_antc</t>
  </si>
  <si>
    <t>_santanderamerica.risk_metrics_cus.restd_level_ext_2_deb_descr</t>
  </si>
  <si>
    <t>restd_level_ext_2_deb_descr</t>
  </si>
  <si>
    <t>Descrição do farol Serasa</t>
  </si>
  <si>
    <t>Através do farol, conseguimos identificar a situação financeira do cliente no Serasa</t>
  </si>
  <si>
    <t>1. VERDE
2. AMARELO
3. LARANJA</t>
  </si>
  <si>
    <t>restricted_level_external_2_debt_description</t>
  </si>
  <si>
    <t>_santanderamerica.risk_metrics_cus.restd_level_ext_deb_descr</t>
  </si>
  <si>
    <t>restd_level_ext_deb_descr</t>
  </si>
  <si>
    <t>Farol de saúde financeira do cliente em outros bancos (externo)</t>
  </si>
  <si>
    <t>1. VERDE
3. LARANJA
2. AMARELO</t>
  </si>
  <si>
    <t>restricted_level_external_debt_description</t>
  </si>
  <si>
    <t>_santanderamerica.risk_metrics_cus.restd_level_ext_sant_deb_descr</t>
  </si>
  <si>
    <t>restd_level_ext_sant_deb_descr</t>
  </si>
  <si>
    <t>Descrição do plano de fundo farol Santander</t>
  </si>
  <si>
    <t>Mostra o plano de fundo do cliente no Santander ON no mês atual</t>
  </si>
  <si>
    <t>restricted_level_final_debt_description</t>
  </si>
  <si>
    <t>_santanderamerica.risk_metrics_cus.restd_level_sant_deb_descr</t>
  </si>
  <si>
    <t>restd_level_sant_deb_descr</t>
  </si>
  <si>
    <t>Descrição do farol de dívida interna</t>
  </si>
  <si>
    <t>Mostra qual a cor do farol o cliente está em relação a dívidas internas. Essas dívidas podem ser: Cartão de Crédito, Renegociação, Acordo, Cheque Especial.</t>
  </si>
  <si>
    <t>restricted_level_santander_debt_description</t>
  </si>
  <si>
    <t>_santanderamerica.risk_metrics_cus.restricted_indicator</t>
  </si>
  <si>
    <t>restricted_indicator</t>
  </si>
  <si>
    <t>Flag de restrição do cliente para aquisição de conta</t>
  </si>
  <si>
    <t>Se QT_TOTL_DIVI_ATIV &gt;0, então envia "1" para Adobe, se não, envia "0".
Se na origem estiver null ou vazio, enviar "0".</t>
  </si>
  <si>
    <t>_santanderamerica.trst_bhv.prch_det.bank_name</t>
  </si>
  <si>
    <t>bank_name</t>
  </si>
  <si>
    <t>Nome do banco onde é calculado o insight ou categoria (interno x externo)</t>
  </si>
  <si>
    <t>Categorias de consumo específicas e granulares que estejam diretamente ligadas a algum serviço/produto/experiência oferecida pelo banco e nichadas ao público PF. Modelo: https://confluence.santanderbr.corp/pages/viewpage.action?pageId=829787540</t>
  </si>
  <si>
    <t>Categoria/Subcategoria</t>
  </si>
  <si>
    <t>Verfificar categorias e subcategorias disponibilizadas no modelo: https://confluence.santanderbr.corp/pages/viewpage.action?pageId=829787540</t>
  </si>
  <si>
    <t>santander
itau
bradesco</t>
  </si>
  <si>
    <t>ds_banc</t>
  </si>
  <si>
    <t>Para mais detalhamento sobre as regras aplicadas, verificar documentação no sharepoint</t>
  </si>
  <si>
    <t>_santanderamerica.trst_bhv.prch_det.period_descr</t>
  </si>
  <si>
    <t>period_descr</t>
  </si>
  <si>
    <t>Tipo de calculo/período considerado no insight ou categorização</t>
  </si>
  <si>
    <t>soma_30d
variacao_30d
concentracao_gastos_fds</t>
  </si>
  <si>
    <t>_santanderamerica.trst_bhv.prch_det.recency_days_number</t>
  </si>
  <si>
    <t>recency_days_number</t>
  </si>
  <si>
    <t>Recency days number</t>
  </si>
  <si>
    <t>Quantidade de dias da última transação da categoria em relação à data de referência</t>
  </si>
  <si>
    <t>107
2
5</t>
  </si>
  <si>
    <t>rcen</t>
  </si>
  <si>
    <r>
      <rPr>
        <strike/>
        <sz val="11"/>
        <color theme="1"/>
        <rFont val="Aptos Narrow"/>
        <family val="2"/>
        <scheme val="minor"/>
      </rPr>
      <t>_santanderamerica.trst_bhv.prch_det.spnt_l12m_freq_nr</t>
    </r>
    <r>
      <rPr>
        <sz val="11"/>
        <color theme="1"/>
        <rFont val="Aptos Narrow"/>
        <family val="2"/>
        <scheme val="minor"/>
      </rPr>
      <t xml:space="preserve">
_santanderamerica.trst_bhv.prch_det.period_spnt_freq_nr</t>
    </r>
  </si>
  <si>
    <r>
      <rPr>
        <strike/>
        <sz val="11"/>
        <color theme="1"/>
        <rFont val="Aptos Narrow"/>
        <family val="2"/>
        <scheme val="minor"/>
      </rPr>
      <t>spnt_l12m_freq_nr</t>
    </r>
    <r>
      <rPr>
        <sz val="11"/>
        <color theme="1"/>
        <rFont val="Aptos Narrow"/>
        <family val="2"/>
        <scheme val="minor"/>
      </rPr>
      <t xml:space="preserve">
period_spnt_freq_nr</t>
    </r>
  </si>
  <si>
    <r>
      <rPr>
        <strike/>
        <sz val="11"/>
        <color theme="1"/>
        <rFont val="Aptos Narrow"/>
        <family val="2"/>
        <scheme val="minor"/>
      </rPr>
      <t>Spnt L12M Freq Nr</t>
    </r>
    <r>
      <rPr>
        <sz val="11"/>
        <color theme="1"/>
        <rFont val="Aptos Narrow"/>
        <family val="2"/>
        <scheme val="minor"/>
      </rPr>
      <t xml:space="preserve">
period_spnt_freq_nr</t>
    </r>
  </si>
  <si>
    <t>Quantidade de transações realizadas dentro do período calculado</t>
  </si>
  <si>
    <t>2
21
56</t>
  </si>
  <si>
    <r>
      <rPr>
        <strike/>
        <sz val="11"/>
        <color theme="1"/>
        <rFont val="Aptos Narrow"/>
        <family val="2"/>
        <scheme val="minor"/>
      </rPr>
      <t>_santanderamerica.trst_bhv.prch_det.spnt_l12m_sum_mt</t>
    </r>
    <r>
      <rPr>
        <sz val="11"/>
        <color theme="1"/>
        <rFont val="Aptos Narrow"/>
        <family val="2"/>
        <scheme val="minor"/>
      </rPr>
      <t xml:space="preserve">
_santanderamerica.trst_bhv.prch_det.period_spnt_sum_mt</t>
    </r>
  </si>
  <si>
    <r>
      <rPr>
        <strike/>
        <sz val="11"/>
        <color theme="1"/>
        <rFont val="Aptos Narrow"/>
        <family val="2"/>
        <scheme val="minor"/>
      </rPr>
      <t>spnt_l12m_sum_mt</t>
    </r>
    <r>
      <rPr>
        <sz val="11"/>
        <color theme="1"/>
        <rFont val="Aptos Narrow"/>
        <family val="2"/>
        <scheme val="minor"/>
      </rPr>
      <t xml:space="preserve">
period_spnt_sum_mt</t>
    </r>
  </si>
  <si>
    <r>
      <rPr>
        <strike/>
        <sz val="11"/>
        <color theme="1"/>
        <rFont val="Aptos Narrow"/>
        <family val="2"/>
        <scheme val="minor"/>
      </rPr>
      <t>Spnt L12M Sum Mt</t>
    </r>
    <r>
      <rPr>
        <sz val="11"/>
        <color theme="1"/>
        <rFont val="Aptos Narrow"/>
        <family val="2"/>
        <scheme val="minor"/>
      </rPr>
      <t xml:space="preserve">
period_spnt_sum_mt</t>
    </r>
  </si>
  <si>
    <t>Soma do valor das transações dentro do período calculado</t>
  </si>
  <si>
    <t>188
321
7902</t>
  </si>
  <si>
    <t>_santanderamerica.trst_bhv.prch_det.subcat_name</t>
  </si>
  <si>
    <t>subcat_name</t>
  </si>
  <si>
    <t>Subcat Name</t>
  </si>
  <si>
    <t>Subtema dentro da categoria</t>
  </si>
  <si>
    <t>tenis
cafes_padarias_doces
delivery</t>
  </si>
  <si>
    <t>consents.marketing.email.val</t>
  </si>
  <si>
    <t>val</t>
  </si>
  <si>
    <t>Indicador de consentimento para recebimento de e-mails</t>
  </si>
  <si>
    <t>y
n</t>
  </si>
  <si>
    <t>g_stbr_c360.idef_data_clie_pf_bure
g_stbr_c360.idef_data_clie_pj_bure
g_stbr_c360.idef_data_nao_clie_pf_bure
g_stbr_c360.idef_data_nao_clie_pj_bure</t>
  </si>
  <si>
    <t>in_bloq_email</t>
  </si>
  <si>
    <t>homeAddress.region</t>
  </si>
  <si>
    <t>region</t>
  </si>
  <si>
    <t>Município</t>
  </si>
  <si>
    <t>SAO PAULO
LAVRAS
CHAPECO</t>
  </si>
  <si>
    <t>region_name</t>
  </si>
  <si>
    <t>homeAddress.stateProvince</t>
  </si>
  <si>
    <t>stateProvince</t>
  </si>
  <si>
    <t>Estado ou cidade</t>
  </si>
  <si>
    <t>Estado</t>
  </si>
  <si>
    <t>Não é de Paraíba. Para exclusão de clientes por questões regulatórias. Ex: não podemos ofertar crédito para pessoas de Paraíba acima de 60 anos.</t>
  </si>
  <si>
    <t>SP
MG
RJ</t>
  </si>
  <si>
    <t>g_stbr_c360.idef_data_nao_clie_pf_bure
g_stbr_c360.idef_data_clie_pf_bure</t>
  </si>
  <si>
    <t>cd_uf_resd</t>
  </si>
  <si>
    <t>mobilePhone.number</t>
  </si>
  <si>
    <t>number</t>
  </si>
  <si>
    <t>Número de telefone indicado para comunicações</t>
  </si>
  <si>
    <t>XXXXXXXX</t>
  </si>
  <si>
    <t>nr_telf_celu
nr_telf_1</t>
  </si>
  <si>
    <t>person._santanderamerica.deceased_indicator</t>
  </si>
  <si>
    <t>deceased_indicator</t>
  </si>
  <si>
    <t>Deceased Indicator</t>
  </si>
  <si>
    <t>Cliente falecido/Óbito</t>
  </si>
  <si>
    <t>Não enviar comunicações ativas para clientes falecidos</t>
  </si>
  <si>
    <t>g_stbr_c360.idef_data_clie_pf_bure
g_stbr_c360.idef_data_nao_clie_pf_bure</t>
  </si>
  <si>
    <t>in_fale</t>
  </si>
  <si>
    <t>person._santanderamerica.document.shrt_nr</t>
  </si>
  <si>
    <t>shrt_nr</t>
  </si>
  <si>
    <t>RDG (sexto e sétimo dígito do CPF)</t>
  </si>
  <si>
    <t>Quebra de amostras para teste A/B</t>
  </si>
  <si>
    <t>41
35
28</t>
  </si>
  <si>
    <t>person_document_short_number</t>
  </si>
  <si>
    <t>person._santanderamerica.resident_foreign_indicator</t>
  </si>
  <si>
    <t>resident_foreign_indicator</t>
  </si>
  <si>
    <t>Resident Foreign Indicator</t>
  </si>
  <si>
    <t>Domícilio no exterior</t>
  </si>
  <si>
    <t>Cliente possui domícilio no exterior. Não podemos ofertar investimentos para clientes que pagam imposto fora do Brasil.</t>
  </si>
  <si>
    <t>g_stbr_c360.patr_exte_imov</t>
  </si>
  <si>
    <t>in_doml_exte</t>
  </si>
  <si>
    <t>person.birthDate</t>
  </si>
  <si>
    <t>birthDate</t>
  </si>
  <si>
    <t>Data de nascimento</t>
  </si>
  <si>
    <t>Idade/Aniversário/Nascimento</t>
  </si>
  <si>
    <t>Segmentar clientes de uma faixa de idade, ou com aniversário próximo.</t>
  </si>
  <si>
    <t>09/10/1982
05/05/1982
07/15/1981</t>
  </si>
  <si>
    <t>dt_nasc</t>
  </si>
  <si>
    <t>person.type</t>
  </si>
  <si>
    <t>Quebra de público de pessoa física e jurídica</t>
  </si>
  <si>
    <t>F
J</t>
  </si>
  <si>
    <t>cd_tipo_pess</t>
  </si>
  <si>
    <t>personalEmail.address</t>
  </si>
  <si>
    <t>address</t>
  </si>
  <si>
    <t>E-mail indicado para comunicações</t>
  </si>
  <si>
    <t>XXXXXX@XXXXX.COM.BR</t>
  </si>
  <si>
    <t>ds_email</t>
  </si>
  <si>
    <t>_santanderamerica.contract_det.registration_date</t>
  </si>
  <si>
    <t>Registration Date</t>
  </si>
  <si>
    <t>Data de contratação do produto</t>
  </si>
  <si>
    <t>Segmentar ou excluir que fizeram contratações em determinados períodos de tempo</t>
  </si>
  <si>
    <t>Fri Dec 31 9999 03:00:00 GMT-0300 (Horário Padrão de Brasília)
Tue Oct 29 2024 03:00:00 GMT-0300 (Horário Padrão de Brasília)
Mon Jan 22 2024 03:00:00 GMT-0300 (Horário Padrão de Brasília)</t>
  </si>
  <si>
    <t>_santanderamerica.trst_bhv.prch_det.cat_name</t>
  </si>
  <si>
    <t>cat_name</t>
  </si>
  <si>
    <t>Cat Name</t>
  </si>
  <si>
    <t>Assunto principal da categorização</t>
  </si>
  <si>
    <t>esportes
gastronomia
transporte</t>
  </si>
  <si>
    <t xml:space="preserve"> SELECT nr_cpf_cnpj as NR_CPF, 
        dscr,
        ds_banc,
        ds_catg,
        ds_suba,
        freq,
        valo,
        rcen
 FROM  s_stbr_drm_nba.cdp_catg
 WHERE DT_REFE = (SELECT MAX(DT_REFE) FROM s_stbr_drm_nba.cdp_catg)
 AND dscr in ('soma_7d','soma_30d','soma_90d','variacao_30d','concentracao_gastos_fds','concentracao_gastos_mes')</t>
  </si>
  <si>
    <t>_santanderamerica.identdata_cus.associated_le_nr</t>
  </si>
  <si>
    <t>associated_le_nr</t>
  </si>
  <si>
    <t>Quantidade de empresas associadas ao CPF do cliente/prospect</t>
  </si>
  <si>
    <t>_santanderamerica.identdata_cus.microentrepeneur_flg</t>
  </si>
  <si>
    <t>microentrepeneur_flg</t>
  </si>
  <si>
    <t>Indica se CPF consta como Micro Empreendedor Individual, de acordo com Riscos</t>
  </si>
  <si>
    <t xml:space="preserve"> Flag indica se CPF consta como Micro Empreendedor Individual, de acordo com Riscos</t>
  </si>
  <si>
    <t>microentrepreneur_indicator</t>
  </si>
  <si>
    <t>_santanderamerica.ext_ent_cus.opfin_sys.addn_incm_flg</t>
  </si>
  <si>
    <t>addn_incm_flg</t>
  </si>
  <si>
    <t>Indicador de recebimento de renda extra no mês vigente. Informação obtida a através do modelo de categorização de Open Finance, baseado nos meses anteriores em que ocorreu recebimento de renda extra.</t>
  </si>
  <si>
    <t>open_finance_system_additional_income_indicator</t>
  </si>
  <si>
    <t>_santanderamerica.trst_bhv.prch_det.txn_lst_dte</t>
  </si>
  <si>
    <t>Data do último recebimento/transação</t>
  </si>
  <si>
    <t>2025-10-25
2025-11-10
2025-11-06</t>
  </si>
  <si>
    <t>date_sub(dt_refe, cast(rcen as int)) as dt_recebimento</t>
  </si>
  <si>
    <t>_santanderamerica.credit_bureau_cus.mrkt_sha.cc_sant_limit_sit_desc</t>
  </si>
  <si>
    <t>cc_sant_limit_sit_desc</t>
  </si>
  <si>
    <t>Descrição do Share of Wallet em Riscos</t>
  </si>
  <si>
    <t>Descrição calculada por riscos</t>
  </si>
  <si>
    <t>1.Sem Informação Externa
3.Limite Santander maior que o total mercado
4.Limite Santander maior que a média do mercado e cobre saldo externo</t>
  </si>
  <si>
    <t>market_share_credit_card_santander_limit_situation_description</t>
  </si>
  <si>
    <t>_santanderamerica.product_services_cus.pyrll_prtab.le_id</t>
  </si>
  <si>
    <t>CNPJ Pagador referente à última portabilidade contra realizada</t>
  </si>
  <si>
    <t>CNPJ Pagador referente a última portabilidade contra, independente se está em andamento ou finalizada</t>
  </si>
  <si>
    <t>09375849000114
13020940000194
87096616000196</t>
  </si>
  <si>
    <t>payroll_portability_legal_entity_id</t>
  </si>
  <si>
    <t>_santanderamerica.regression_model.incm_commt_pct</t>
  </si>
  <si>
    <t>incm_commt_pct</t>
  </si>
  <si>
    <t>Percentual de comprometimento da renda</t>
  </si>
  <si>
    <t>Percentual de comprometimento da renda, trazer valor mais recente</t>
  </si>
  <si>
    <t>1.39
0.81
1.09</t>
  </si>
  <si>
    <t>income_commitment_percentage</t>
  </si>
  <si>
    <t>_santanderamerica.ext_ent_cus.decl.vehcles_desc</t>
  </si>
  <si>
    <t>vehcles_desc</t>
  </si>
  <si>
    <t>Posse de automóvel (B3) - Quantidade de automóveis</t>
  </si>
  <si>
    <t>Patrimonio financeiro (base do MPI) e a base de veículos da B3/Cetip</t>
  </si>
  <si>
    <t>Possui 1 veículo
Nunca possuiu veículo
Possui 2 veículos</t>
  </si>
  <si>
    <t>declared_vehicles_description</t>
  </si>
  <si>
    <t>_santanderamerica.contract_cus.account.feature.acc_shrt_nr</t>
  </si>
  <si>
    <t>acc_shrt_nr</t>
  </si>
  <si>
    <t>Número da conta</t>
  </si>
  <si>
    <t>número da conta principal</t>
  </si>
  <si>
    <t>4924
5222
0515</t>
  </si>
  <si>
    <t>nr_cc_prin</t>
  </si>
  <si>
    <t>_santanderamerica.identdata_cus.center_branch.id</t>
  </si>
  <si>
    <t>id</t>
  </si>
  <si>
    <t>Número da agência</t>
  </si>
  <si>
    <t>número da agência principal</t>
  </si>
  <si>
    <t>3488
3523
3396</t>
  </si>
  <si>
    <t>cd_agen_prin</t>
  </si>
  <si>
    <t>_santanderamerica.postran_cus.credit_card.stmt_autmc_dbt_flg</t>
  </si>
  <si>
    <t>stmt_autmc_dbt_flg</t>
  </si>
  <si>
    <t>Posse de débito automático na fatura</t>
  </si>
  <si>
    <t>Indicador de débito automático do cartão</t>
  </si>
  <si>
    <t>s_dct_mpa.fatu_crto</t>
  </si>
  <si>
    <t>select    nr_pess_titl as nr_pess,
            row_number() over(partition by cd_agen, nr_cntr order by nr_fatu desc) as rn
from      s_dct_mpa.fatu_crto
where     dt_refe_base &gt;= add_months((select max(dt_refe_base) from s_dct_mpa.fatu_crto), -2)
and       in_fatu_debt_autm = 'S'</t>
  </si>
  <si>
    <t>_santanderamerica.compliance_cus.open_finance.inbound_fx_nr</t>
  </si>
  <si>
    <t>inbound_fx_nr</t>
  </si>
  <si>
    <t>Indicador de posse de consentimento open finance do bloco de câmbio</t>
  </si>
  <si>
    <t>Indicador de posse de consentimento open finance do bloco de cliente</t>
  </si>
  <si>
    <t xml:space="preserve"> g_stbr_c360.compliance_cus</t>
  </si>
  <si>
    <t>consent_open_finance_inbound_foreign_exchange_number</t>
  </si>
  <si>
    <t>_santanderamerica.compliance_cus.open_finance.inbound_cr_nr</t>
  </si>
  <si>
    <t>inbound_cr_nr</t>
  </si>
  <si>
    <t>Indicador de posse de consentimento open finance do bloco de crédito</t>
  </si>
  <si>
    <t>19
16
11</t>
  </si>
  <si>
    <t>consent_open_finance_inbound_credit_number</t>
  </si>
  <si>
    <t>_santanderamerica.compliance_cus.open_finance.inbound_cc_nr</t>
  </si>
  <si>
    <t>inbound_cc_nr</t>
  </si>
  <si>
    <t>Indicador de posse de consentimento open finance do bloco de cartão de crédito</t>
  </si>
  <si>
    <t>18
17
12</t>
  </si>
  <si>
    <t>consent_open_finance_inbound_credit_card_number</t>
  </si>
  <si>
    <t>_santanderamerica.compliance_cus.open_finance.account_nr</t>
  </si>
  <si>
    <t>account_nr</t>
  </si>
  <si>
    <t>Indicador de posse de consentimento open finance do bloco de conta</t>
  </si>
  <si>
    <t>22
19
18</t>
  </si>
  <si>
    <t>consent_open_finance_account_number</t>
  </si>
  <si>
    <t>_santanderamerica.compliance_cus.open_finance.smart_inst_pymt_flg</t>
  </si>
  <si>
    <t>smart_inst_pymt_flg</t>
  </si>
  <si>
    <t>Indicador de consentimento para transferências inteligentes no Open Finance</t>
  </si>
  <si>
    <t>Boolean = true quando tiver o consentimento ativo</t>
  </si>
  <si>
    <t>consent_open_finance_smart_instant_payment_indicator</t>
  </si>
  <si>
    <t>_santanderamerica.compliance_cus.open_finance.inbound_lst_bnk_name</t>
  </si>
  <si>
    <t>inbound_lst_bnk_name</t>
  </si>
  <si>
    <t>Nome da última instituição financeira inbound</t>
  </si>
  <si>
    <t>Selecionar clientes sem consentimento open finance, clientes que deram inbound, clientes com potencial para 2º consentimento.</t>
  </si>
  <si>
    <t>bancodobrasil
mercadopago
nubank</t>
  </si>
  <si>
    <t>consent_open_finance_inbound_last_bank_name</t>
  </si>
  <si>
    <t>_santanderamerica.compliance_cus.open_finance.outbound_lst_bnk_name</t>
  </si>
  <si>
    <t>outbound_lst_bnk_name</t>
  </si>
  <si>
    <t>Nome da última instituição financeira outbound</t>
  </si>
  <si>
    <t>Selecionar clientes sem consentimento open finance, clientes que deram outbound, clientes com potencial para 2º consentimento.</t>
  </si>
  <si>
    <t>Belvo
Mercado Pago
RecargaPay</t>
  </si>
  <si>
    <t>consent_open_finance_outbound_last_bank_name</t>
  </si>
  <si>
    <t>_santanderamerica.contract_cus.loan.vehcle_ln_c2c_tot_nr</t>
  </si>
  <si>
    <t>vehcle_ln_c2c_tot_nr</t>
  </si>
  <si>
    <t>Quantidade de contratos C2C ativos</t>
  </si>
  <si>
    <t>Soma da quantidade de contratos ativos da modalidade C2C</t>
  </si>
  <si>
    <t>1
3
2</t>
  </si>
  <si>
    <t>vehicle_loan_c2c_total_number</t>
  </si>
  <si>
    <t>_santanderamerica.contract_cus.loan.vehcle_ln_c2c_registration_lst_dte</t>
  </si>
  <si>
    <t>vehcle_ln_c2c_registration_lst_dte</t>
  </si>
  <si>
    <t>Data da última contratação de C2C</t>
  </si>
  <si>
    <t>Data mais recente de inclusão do contrato</t>
  </si>
  <si>
    <t>2024-09-18
2022-03-28
2023-06-22</t>
  </si>
  <si>
    <t>9999-12-31
NULL</t>
  </si>
  <si>
    <t>vehicle_loan_c2c_registration_last_date</t>
  </si>
  <si>
    <t>_santanderamerica.contract_cus.loan.vehcle_ln_sec_guar_actv_nr</t>
  </si>
  <si>
    <t>vehcle_ln_sec_guar_actv_nr</t>
  </si>
  <si>
    <t>Quantidade de contratos CGA ativos</t>
  </si>
  <si>
    <t>Soma da quantidade de contratos ativos da modalidade CGA</t>
  </si>
  <si>
    <t>vehicle_loan_secured_guarantee_active_number</t>
  </si>
  <si>
    <t>_santanderamerica.contract_cus.loan.vehcle_ln_sec_guar_registration_lst_dte</t>
  </si>
  <si>
    <t>vehcle_ln_sec_guar_registration_lst_dte</t>
  </si>
  <si>
    <t>Data da última contratação de CGA</t>
  </si>
  <si>
    <t>2025-10-21
2024-09-18
2021-10-11</t>
  </si>
  <si>
    <t>vehicle_loan_secured_guarantee_registration_last_date</t>
  </si>
  <si>
    <t>_santanderamerica.contract_cus.loan.car_ln_tot_nr</t>
  </si>
  <si>
    <t>car_ln_tot_nr</t>
  </si>
  <si>
    <t>Quantidade de contratos ativos de financiamento auto/moto</t>
  </si>
  <si>
    <t>car_loan_total_number</t>
  </si>
  <si>
    <t>_santanderamerica.contract_cus.credit_card.cc_addn_ctrat_nr</t>
  </si>
  <si>
    <t>cc_addn_ctrat_nr</t>
  </si>
  <si>
    <t>Quantidade de contratos com cartão adicional</t>
  </si>
  <si>
    <t>A informação vem da MIS, ela busca pelos contratos adicionais do cliente e faz um sum para obter a quantidade.</t>
  </si>
  <si>
    <t>3
2
2</t>
  </si>
  <si>
    <t>credit_card_additional_contract_number</t>
  </si>
  <si>
    <t>_santanderamerica.contract_cus.account.clsr_request_lst_dte</t>
  </si>
  <si>
    <t>clsr_request_lst_dte</t>
  </si>
  <si>
    <t>Data do último pedido de encerramento de conta pendente</t>
  </si>
  <si>
    <t>Traz a data dos clientes através da movimentação espontânea, dentro de alguns ciclos de churn, por fim seleciona quem tem a data de reativação seja maior que a data de última movimentação espontânea.</t>
  </si>
  <si>
    <t>2025-12-08
2025-11-18
2025-12-10</t>
  </si>
  <si>
    <t>account_closure_request_last_date</t>
  </si>
  <si>
    <t>_santanderamerica.credit_bureau_cus.bl.mkt_sant_tot_mt</t>
  </si>
  <si>
    <t>mkt_sant_tot_mt</t>
  </si>
  <si>
    <t>Valor total de crédito tomado sem fins específicos</t>
  </si>
  <si>
    <t xml:space="preserve">Soma dos valores de crédito que não envolvam financiamento ou consumo e parcelamento de fatura, com filtros de exceção, públicos não calculados, etc. </t>
  </si>
  <si>
    <t>110768.67
106763.28
105734.27</t>
  </si>
  <si>
    <t>balance_market_santander_total_amount</t>
  </si>
  <si>
    <t>_santanderamerica.credit_bureau_cus.bl.feature.mkt_sant_l12m_max_mt</t>
  </si>
  <si>
    <t>mkt_sant_l12m_max_mt</t>
  </si>
  <si>
    <t>Valor máximo tomado de crédito, olhando os últimos 12 meses</t>
  </si>
  <si>
    <t>Valor máximo tomado de crédito, olhando os últimos 12 meses - considerar o valor total do bacen (interno + externo), vencido e à vencer e trazer a posição de maior valor somando todas as modalidades de crédito, olhando os últimos 12 meses.</t>
  </si>
  <si>
    <t>3939.53
1238.56
23680.00</t>
  </si>
  <si>
    <t>balance_market_santander_last_12_months_max_amount</t>
  </si>
  <si>
    <t>_santanderamerica.credit_bureau_cus.bl.stop_bnk_name</t>
  </si>
  <si>
    <t>stop_bnk_name</t>
  </si>
  <si>
    <t>Instituição financeira ao qual o cliente tenha saldo parado em conta (Open Finance)</t>
  </si>
  <si>
    <t>Traz o campo brandname, que é o nome da instituição ao qual o cliente que deu consentimento ao open finance, tem saldo parado em um intervalo de 30 dias, e que a conta não seja uma conta poupança.</t>
  </si>
  <si>
    <t>Nubank
Mercado Pago
Bradesco</t>
  </si>
  <si>
    <t>balance_stop_bank_name</t>
  </si>
  <si>
    <t>_santanderamerica.risk_metrics_cus.dqcy_prd_code</t>
  </si>
  <si>
    <t>dqcy_prd_code</t>
  </si>
  <si>
    <t>Perfil da pessoa física em recuperações (Negócio PF - Under)</t>
  </si>
  <si>
    <t>Categorização/clusterização do cliente PF para indicação de ação preventiva - considerando apenas clientes "Under", ou seja, até 90 dias de atraso.</t>
  </si>
  <si>
    <t>35
20
15</t>
  </si>
  <si>
    <t>delinquency_product_code</t>
  </si>
  <si>
    <t>_santanderamerica.risk_metrics_cus.reneg_offer_code</t>
  </si>
  <si>
    <t>reneg_offer_code</t>
  </si>
  <si>
    <t>Produto indicativo de recuperações (Negócio PF - Under)</t>
  </si>
  <si>
    <t>Oferta indicada por recuperações para clientes PF "Under", ou seja, até 90 dias de atraso.</t>
  </si>
  <si>
    <t>5
6
7</t>
  </si>
  <si>
    <t>renegotiation_offer_code</t>
  </si>
  <si>
    <t>_santanderamerica.ext_ent_prd_srvcs_det.bnk_name</t>
  </si>
  <si>
    <t>bnk_name</t>
  </si>
  <si>
    <t>Nome do banco do produto</t>
  </si>
  <si>
    <t>Nome dos bancos para cada tipo de categoria relacionada a Open Finance</t>
  </si>
  <si>
    <t>TARIFA PACOTE DE SERVIÇOS
TARIFA SAQUE
TARIFAS
CAPITALIZACAO
TRANSFERENCIAS INTELIGENTES</t>
  </si>
  <si>
    <t>ITAU
CAIXA
NUBANK</t>
  </si>
  <si>
    <t>TARIFAS, CAPITALIZACAO: s_stbr_drm_nba.catg_prod_tran
TRANSFERENCIAS INTELIGENTES: g_stbr_c360.posi_movi_traf_itnt</t>
  </si>
  <si>
    <t>_santanderamerica.ext_ent_prd_srvcs_det.highest_rate</t>
  </si>
  <si>
    <t>highest_rate</t>
  </si>
  <si>
    <t>Maior taxa do produto</t>
  </si>
  <si>
    <t>Maior taxa paga pelo cliente para cada tipo de categoria relacionada a Open Finance</t>
  </si>
  <si>
    <t>Crédito Pessoal (32)</t>
  </si>
  <si>
    <t>ITAU
MERCADOPAGO
BRADESCO</t>
  </si>
  <si>
    <t>g_stbr_c360.patr_exte_ofinc_empt</t>
  </si>
  <si>
    <t>_santanderamerica.postran_cus.account.feature.evsn_l12m_freq_nr</t>
  </si>
  <si>
    <t>evsn_l12m_freq_nr</t>
  </si>
  <si>
    <t>Quantos meses evadiu/repatriou para grandes bancos nos últimos 12 meses</t>
  </si>
  <si>
    <t>Quantidade de meses nos últimos 12 meses em que o cliente evadiu para grandes bancos.</t>
  </si>
  <si>
    <t>2
11
10</t>
  </si>
  <si>
    <t>account_balance_evasion_last_12_month_frequency_number</t>
  </si>
  <si>
    <t>_santanderamerica.postran_cus.investment.feature.txn_l12m_tot_mt</t>
  </si>
  <si>
    <t>txn_l12m_tot_mt</t>
  </si>
  <si>
    <t>Valor total do fluxo de transferências em 12 meses para grandes bancos</t>
  </si>
  <si>
    <t>Soma de total de evasão + total de captação, onde a data do pagamento está dentro do período de 12 meses, onde a instuição destinatária/remetente se encaixa em "GRANDES BANCOS"</t>
  </si>
  <si>
    <t>9923,41
510,00
550,00</t>
  </si>
  <si>
    <t>investment_transaction_last_12_months_total_amount</t>
  </si>
  <si>
    <t>_santanderamerica.product_services_cus.loyalty_reward_program.points_tot_nr</t>
  </si>
  <si>
    <t>Quantidade de pontos totais do cliente</t>
  </si>
  <si>
    <t>Quantidade de pontos totais do cliente - saldo ponta (visão mais atualizada)</t>
  </si>
  <si>
    <t>4
1
9</t>
  </si>
  <si>
    <t>_santanderamerica.ctrat_det.addn_added_lst_dte</t>
  </si>
  <si>
    <t>addn_added_lst_dte</t>
  </si>
  <si>
    <t>Data de contratação de cartão adicional</t>
  </si>
  <si>
    <t>Data em que o cliente contratou um cartão adicional</t>
  </si>
  <si>
    <t>Cartões de Crédito e Débito (66);</t>
  </si>
  <si>
    <t>2021-11-09
2017-08-18
2017-07-25</t>
  </si>
  <si>
    <t>additional_added_last_date</t>
  </si>
  <si>
    <t>_santanderamerica.contract_det.postran_positions_det.dqcy_istlmt_nr</t>
  </si>
  <si>
    <t>dqcy_istlmt_nr</t>
  </si>
  <si>
    <t>Quantidade de parcelas em atraso</t>
  </si>
  <si>
    <t>Comunicar o cliente que atrasou a cota de consórcio, para que não tenha sua cota cancelada por falta de pagamento.</t>
  </si>
  <si>
    <t>28
15
7</t>
  </si>
  <si>
    <t>delinquency_tenor_number</t>
  </si>
  <si>
    <t>_santanderamerica.contract_det.cover_type_code</t>
  </si>
  <si>
    <t>cover_type_code</t>
  </si>
  <si>
    <t>Tipo do produto coberto</t>
  </si>
  <si>
    <t>Trazer o produto correspondente ao contrato</t>
  </si>
  <si>
    <t>Seguros (56/57);</t>
  </si>
  <si>
    <t>0011
0012
0023</t>
  </si>
  <si>
    <t>g_stbr_c360.contract_insurance_det</t>
  </si>
  <si>
    <t>_santanderamerica.contract_det.postran_positions_det.dqcy_tot_mt</t>
  </si>
  <si>
    <t>dqcy_tot_mt</t>
  </si>
  <si>
    <t>Valor total de parcelas atrasadas</t>
  </si>
  <si>
    <t>Valor total de parcelas atrasadas do produto</t>
  </si>
  <si>
    <t>3062,04
660,04
244,70</t>
  </si>
  <si>
    <t>consortium_overdue_installments_total_amount</t>
  </si>
  <si>
    <t>_santanderamerica.ext_ent_prd_srvcs_det. ext_ent_postr_det.trst.l12m_avg_mt</t>
  </si>
  <si>
    <t>l12m_avg_mt</t>
  </si>
  <si>
    <t>Valor médio das transações de débito do produto Seguro Vida mapeado na categorização do Open Finance.</t>
  </si>
  <si>
    <t>Trazer o valor médio de pagamento de débito em transações de seguro de vida, considerando os últimos 12 meses.</t>
  </si>
  <si>
    <t>1,39
265,16
2175,00</t>
  </si>
  <si>
    <t>g_stbr_c360.external_entities_open_finance_system_det</t>
  </si>
  <si>
    <t>transaction_last_12_months_average_amount</t>
  </si>
  <si>
    <t>_santanderamerica.ext_ent_prd_srvcs_det.prd_nr</t>
  </si>
  <si>
    <t>prd_nr</t>
  </si>
  <si>
    <t>Posse de parcelamento de fatura no mercado (Open Finance)</t>
  </si>
  <si>
    <t>Identificar clientes que contratam o produto fora do banco para ofertar com taxas melhores aqui.</t>
  </si>
  <si>
    <t>product_number</t>
  </si>
  <si>
    <t>_santanderamerica.ext_ent_prd_srvcs_det.ext_ent_postr_det.trst.lst_mt</t>
  </si>
  <si>
    <t>lst_mt</t>
  </si>
  <si>
    <t>Valor da última transação categorizada como capitalização no mercado</t>
  </si>
  <si>
    <t>Valor da última transação categorizada como capitalização no mercado.</t>
  </si>
  <si>
    <t>12,22
219,20
2140,00</t>
  </si>
  <si>
    <t>transaction_last_amount</t>
  </si>
  <si>
    <t>_santanderamerica.ext_ent_prd_srvcs_det.ext_ent_postr_det.trst.l30d_tot_mt</t>
  </si>
  <si>
    <t>l30d_tot_mt</t>
  </si>
  <si>
    <t>Soma do valor de todos os recebimentos dos últimos 30 dias</t>
  </si>
  <si>
    <t>Trazer a soma do valor de todas as transferências inteligentes nos últimos 30 dias</t>
  </si>
  <si>
    <t>33,00
6392,80
74,50</t>
  </si>
  <si>
    <t xml:space="preserve">transaction_last_30_days_total_amount </t>
  </si>
  <si>
    <t>_santanderamerica.ext_ent_prd_srvcs_det.ext_ent_postr_det.trst.lst_dy_tot_mt</t>
  </si>
  <si>
    <t>lst_dy_tot_mt</t>
  </si>
  <si>
    <t>Soma de todos os valores dos recebimentos do último dia</t>
  </si>
  <si>
    <t>Trazer a soma do valor de todas as transferências inteligentes do último dia - ontem</t>
  </si>
  <si>
    <t>200,00
150,00
100,00</t>
  </si>
  <si>
    <t>transaction_last_day_total_amount</t>
  </si>
  <si>
    <t>_santanderamerica.ext_ent_prd_srvcs_det.ext_ent_postr_det.trst.l12m_tot_nr</t>
  </si>
  <si>
    <t>l12m_tot_nr</t>
  </si>
  <si>
    <t>Quantidade de transações inteligentes nos últimos 12 meses</t>
  </si>
  <si>
    <t>Quantidade de transações nos últimos 12 meses</t>
  </si>
  <si>
    <t>transaction_last_12_months_total_number</t>
  </si>
  <si>
    <t>_santanderamerica.classification_model.customer_collct_clu</t>
  </si>
  <si>
    <t>customer_collct_clu</t>
  </si>
  <si>
    <t>Cluster Personas</t>
  </si>
  <si>
    <t>Descrição do cluster so cliente para que possamos falar com personas mais precisas e segmentar o público-alvo de forma mais eficaz.</t>
  </si>
  <si>
    <t>ASSALARIADO FOPA: PÚBLICO
ASSALARIADO MERCADO: PRIVADO
DEMAIS</t>
  </si>
  <si>
    <t>customer_sub_segment_cluster</t>
  </si>
  <si>
    <t>_santanderamerica.postran_cus.instpymt.feature.cc_txn_l30d_nr</t>
  </si>
  <si>
    <t>cc_txn_l30d_nr</t>
  </si>
  <si>
    <t>Quantidade de transações realizadas via PIX no cartão nos últimos 30 dias</t>
  </si>
  <si>
    <t>Contar a quantidade de transações.</t>
  </si>
  <si>
    <t>7
8
3</t>
  </si>
  <si>
    <t>g_stbr_c360.postran_credit_card_cus</t>
  </si>
  <si>
    <t>instant_payment_credit_card_transaction_last_30_days_number</t>
  </si>
  <si>
    <t>_santanderamerica.postran_cus.ivtmt_chldrn_bl_mt</t>
  </si>
  <si>
    <t>ivtmt_chldrn_bl_mt</t>
  </si>
  <si>
    <t>Valor total de saldo de previdência primeiros passos</t>
  </si>
  <si>
    <t>Valor total investido em previdência primeiros passos.</t>
  </si>
  <si>
    <t>12165,00
1143,35
4724,56</t>
  </si>
  <si>
    <t>g_stbr_c360.postran_positions_prod_cus</t>
  </si>
  <si>
    <t>investment_children_balance_amount</t>
  </si>
  <si>
    <t>_santanderamerica.postran_cus.credit_card.feature.lim_used_l6m_max_pct</t>
  </si>
  <si>
    <t>lim_used_l6m_max_pct</t>
  </si>
  <si>
    <t>Percentual máximo de uso do cartão por cliente nos últimos 6 meses</t>
  </si>
  <si>
    <t>Divide o valor do limite comprometido pelo valor do limite da conta para ter o valor percentual.</t>
  </si>
  <si>
    <t>1.00
0.31
0.05</t>
  </si>
  <si>
    <t>credit_card_limit_used_last_6_month_maximum_percentage</t>
  </si>
  <si>
    <t>_santanderamerica.risk_metrics_cus.reneg_prd_bucket_code</t>
  </si>
  <si>
    <t>reneg_prd_bucket_code</t>
  </si>
  <si>
    <t>Código de balde de produtos para renegociação na visão cliente</t>
  </si>
  <si>
    <t>Código único na visão cliente proveniente das origens mrcrepf e mrcrepj.</t>
  </si>
  <si>
    <t>40
81
97</t>
  </si>
  <si>
    <t>renegotiation_product_bucket_code</t>
  </si>
  <si>
    <t>_santanderamerica.risk_metrics_cus.reneg_pcy_code</t>
  </si>
  <si>
    <t>reneg_pcy_code</t>
  </si>
  <si>
    <t xml:space="preserve">Código multicanal da politica de renegociação do cliente </t>
  </si>
  <si>
    <t>9009
6731
6194</t>
  </si>
  <si>
    <t>renegotiation_policy_code</t>
  </si>
  <si>
    <t>_santanderamerica.risk_metrics_cus.reneg_camp_chnl_code</t>
  </si>
  <si>
    <t>reneg_camp_chnl_code</t>
  </si>
  <si>
    <t>Código indicativo para fomento de comunicação (SMS, Email e Push) por tipo campanha (PF, PJ, Fluxo Irregular, Lembrete de Pagamento etc) na visão cliente.</t>
  </si>
  <si>
    <t>JS20210,JP10201,JE41409
FS99999,FS10502,FS10503,FP99999,FP20301,FE99999
JS20514,JS20337,JE30703,JE41412</t>
  </si>
  <si>
    <t>renegotiation_campaign_channel_code</t>
  </si>
  <si>
    <t>_santanderamerica.credit_bureau_cus.cc.invoice_istlmt_pymt_mt</t>
  </si>
  <si>
    <t>invoice_istlmt_pymt_mt</t>
  </si>
  <si>
    <t>Valor parcelado de cartão de crédito para quem parcela fatura</t>
  </si>
  <si>
    <t>Traz a coluna que contém os valores que foram parcelados de cartão de crédito para quem parcela fatura, com filtros de exceção, públicos não calculados, etc. Ao aproveitar o campo no customer, priorizar quem vem do bacen e caso não tenha registro, pegar da quod.</t>
  </si>
  <si>
    <t>9612.87
24171.18
460.44</t>
  </si>
  <si>
    <t>credit_card_invoice_installment_payment_amount</t>
  </si>
  <si>
    <t>_santanderamerica.postran_cus.investment.goal_sav_tot_mt</t>
  </si>
  <si>
    <t>goal_sav_tot_mt</t>
  </si>
  <si>
    <t>Valor total investido em Minhas Reservas</t>
  </si>
  <si>
    <t>Soma de todos os valores investidos em minhas reservas</t>
  </si>
  <si>
    <t>3500.00
157.58
143.29</t>
  </si>
  <si>
    <t>investment_goal_savings_total_amount</t>
  </si>
  <si>
    <t>_santanderamerica.postran_cus.dc.feature.spnt_lst_mth_mt</t>
  </si>
  <si>
    <t>spnt_lst_mth_mt</t>
  </si>
  <si>
    <t>Valor gasto no cartão de débito no último mês</t>
  </si>
  <si>
    <t xml:space="preserve"> Traz o valor gasto no último mês na modalidade débito.</t>
  </si>
  <si>
    <t>22.50
4490.57
1890.04</t>
  </si>
  <si>
    <t>debit_card_spent_last_month_amount</t>
  </si>
  <si>
    <t>_santanderamerica.intprofile_cus.segment.struct_sgmt_lst_upd_dte</t>
  </si>
  <si>
    <t>struct_sgmt_lst_upd_dte</t>
  </si>
  <si>
    <t>Data da última migração de segmento para Select dentro de 30 dias</t>
  </si>
  <si>
    <t>Comparar o segmento do cliente dentro de 30 dias</t>
  </si>
  <si>
    <t>2025-10-21
2025-11-04
2025-11-06</t>
  </si>
  <si>
    <t>structural_segment_last_update_date</t>
  </si>
  <si>
    <t>_santanderamerica.intprofile_cus.priority_co_sgmt_code</t>
  </si>
  <si>
    <t>priority_co_sgmt_code</t>
  </si>
  <si>
    <t>Nome do maior segmento de empresa cujo cpf é sócio</t>
  </si>
  <si>
    <t>Trazer o nome do segmento de Maior porte da Empresa cujo CPF é sócio. Reutilizar o campo 76, deixando a informação atual para CCPF e CCPJ, e complementando com a oriem abaixo para quem é CCPF e ProspectPJ.</t>
  </si>
  <si>
    <t>GIU
MEI
E3</t>
  </si>
  <si>
    <t>_santanderamerica.intprofile_cus.restricted.acq_pln_pyrll_flg</t>
  </si>
  <si>
    <t>acq_pln_pyrll_flg</t>
  </si>
  <si>
    <t>Indicador de clientes bloqueados para contratação de crédito consignado.</t>
  </si>
  <si>
    <t>Marca os clientes que tiveram o aumento do prazo recentemente</t>
  </si>
  <si>
    <t>restricted_acquisition_personal_loan_payroll_indicator</t>
  </si>
  <si>
    <t>_santanderamerica.intprofile_cus.segment.potl_struct_sgmt_code</t>
  </si>
  <si>
    <t>potl_struct_sgmt_code</t>
  </si>
  <si>
    <t>Código do segmento potencial</t>
  </si>
  <si>
    <t>Código do segmento potencial mais recente (atualizado)</t>
  </si>
  <si>
    <t>302
271
135</t>
  </si>
  <si>
    <t>potential_structural_segment_code</t>
  </si>
  <si>
    <t>_santanderamerica.product_services_cus.instant_payment.instpymt_ky_email_tot_nr</t>
  </si>
  <si>
    <t>instpymt_ky_email_tot_nr</t>
  </si>
  <si>
    <t>Quantidade de chave PIX e-mail cadastrada no Santander</t>
  </si>
  <si>
    <t>Selecionar clientes PF e capturar quantidade de chaves ativas por tipo e-mail.</t>
  </si>
  <si>
    <t>133
44
22</t>
  </si>
  <si>
    <t>instant_payment_key_email_total_number</t>
  </si>
  <si>
    <t>_santanderamerica.product_services_cus.instant_payment.instpymt_ky_rndm_tot_nr</t>
  </si>
  <si>
    <t>instpymt_ky_rndm_tot_nr</t>
  </si>
  <si>
    <t>Quantidade de chave PIX aleatória cadastrada no Santander</t>
  </si>
  <si>
    <t>Selecionar clientes PF e capturar quantidade de chaves ativas por tipo aleatória.</t>
  </si>
  <si>
    <t>1
6
3</t>
  </si>
  <si>
    <t>instant_payment_key_random_total_number</t>
  </si>
  <si>
    <t>_santanderamerica.postran_cus.credit_card.feature.over_dc_spnt_l6m_pct</t>
  </si>
  <si>
    <t>over_dc_spnt_l6m_pct</t>
  </si>
  <si>
    <t>Valor de share entre gasto disponível no cartão de crédito X gasto no débito nos últimos 6 meses</t>
  </si>
  <si>
    <t>Valor de share entre gasto disponível no cartão de crédito X gasto no débito nos últimos 6 meses, priorizando melhor contrato do cliente.</t>
  </si>
  <si>
    <t>63431.00
0.29
0.26</t>
  </si>
  <si>
    <t>credit_card_over_debit_card_spent_last_6_months_percentage</t>
  </si>
  <si>
    <t>_santanderamerica.credit_bureau_cus.cc.prch_lim_tot_mt</t>
  </si>
  <si>
    <t>prch_lim_tot_mt</t>
  </si>
  <si>
    <t>Valor de consumo do cartão de crédito</t>
  </si>
  <si>
    <t>Valor de consumo do cartão de crédito (prospect)</t>
  </si>
  <si>
    <t>16519.40
1603.83
2026.69</t>
  </si>
  <si>
    <t>credit_card_purchase_limit_total_amount</t>
  </si>
  <si>
    <t>_santanderamerica.credit_bureau_cus.ln.vehcle_ln_tot_mt</t>
  </si>
  <si>
    <t>vehcle_ln_tot_mt</t>
  </si>
  <si>
    <t>Valor total do financiamento de veículo</t>
  </si>
  <si>
    <t xml:space="preserve"> Valor total de financiamento de veículo/auto (prospect)</t>
  </si>
  <si>
    <t>34861.42
8830.30
13000.33</t>
  </si>
  <si>
    <t>vehicle_loan_total_amount</t>
  </si>
  <si>
    <t>_santanderamerica.credit_bureau_cus.mortg.tot_mt</t>
  </si>
  <si>
    <t>mortg.tot_mt</t>
  </si>
  <si>
    <t>Valor total de crédito imobíliário</t>
  </si>
  <si>
    <t>Valor total de crédito imobíliário (prospect)</t>
  </si>
  <si>
    <t>97276.31
331304.60
191763.96</t>
  </si>
  <si>
    <t>home_loan_total_amount</t>
  </si>
  <si>
    <t>_santanderamerica.ext_ent_prd_srvcs_det.lowest_rate</t>
  </si>
  <si>
    <t>lowest_rate</t>
  </si>
  <si>
    <t>Menor taxa do produto (Open Finance)</t>
  </si>
  <si>
    <t>Valor da menor taxa contratada do produto, via Open Finance</t>
  </si>
  <si>
    <t>0.05
0.02
0.07</t>
  </si>
  <si>
    <t>_santanderamerica.contract_cus.credit_card.cc_addn_mnr_chlhdr_tot_nr</t>
  </si>
  <si>
    <t>cc_addn_mnr_chlhdr_tot_nr</t>
  </si>
  <si>
    <t xml:space="preserve"> Quantidade de adicionais pertencentes à menores de idade</t>
  </si>
  <si>
    <t xml:space="preserve"> Identificar a data de nascimento dos adicionais, e contabilizar somente aqueles que tem menos de 18 anos.</t>
  </si>
  <si>
    <t>1
3
4</t>
  </si>
  <si>
    <t xml:space="preserve">g_stbr_c360.contract_cus </t>
  </si>
  <si>
    <t>credit_card_additional_minor_cardholder_total_number</t>
  </si>
  <si>
    <t>Identification Data Profile</t>
  </si>
  <si>
    <t>_santanderamerica.identdata_cus.vehcle.nat_registration_flg</t>
  </si>
  <si>
    <t>nat_registration_flg</t>
  </si>
  <si>
    <t>Indicador de clientes com Renavam cadastrado no Santander</t>
  </si>
  <si>
    <t>Capturar RENAVAM cadastrado pelos clientes, associando ao PENUMPER.</t>
  </si>
  <si>
    <t>False;
True</t>
  </si>
  <si>
    <t>vehicle_national_registration_indicator</t>
  </si>
  <si>
    <t>_santanderamerica.trst_bhv.trst_signal_det.txn_lst_dte</t>
  </si>
  <si>
    <t>Data do último pagamento efetuado de IPVA / IPTU no Santander</t>
  </si>
  <si>
    <t>Selecionar a data mais recente de pagamento do imposto, procurando por clientes que não efetuaram pagamento no ano passado ou no atual.</t>
  </si>
  <si>
    <t>2026-01-09
2024-07-01
2024-02-20</t>
  </si>
  <si>
    <t>g_stbr_c360.transactions_signal_det</t>
  </si>
  <si>
    <t>_santanderamerica.trst_bhv.trst_signal_det.sgnl_name</t>
  </si>
  <si>
    <t>sgnl_name</t>
  </si>
  <si>
    <t>Nome do tributo pago</t>
  </si>
  <si>
    <t>municipal auto tax
municipal home tax
vehicle national license payment</t>
  </si>
  <si>
    <t>signal_name</t>
  </si>
  <si>
    <t>_santanderamerica.identdata_cus.vehcle.plat_shrt_code</t>
  </si>
  <si>
    <t>plat_shrt_code</t>
  </si>
  <si>
    <t>Dígito final da placa associado ao último pagamento de IPVA</t>
  </si>
  <si>
    <t>Dígito final da placa associado ao último pagamento de IPVA. Deve acompanhar a variável 973</t>
  </si>
  <si>
    <t>ADJ8H78
AQH3534
AYT0B28</t>
  </si>
  <si>
    <t>cd_plac</t>
  </si>
  <si>
    <t>_santanderamerica.postran_cus.pymt.vehcle_txes_fue_istlmt_nr</t>
  </si>
  <si>
    <t>vehcle_txes_fue_istlmt_nr</t>
  </si>
  <si>
    <t>Quantidade de parcelas/forma de pagamento associado ao último pagamento de IPVA</t>
  </si>
  <si>
    <t>Indica se o pagamento foi à vista ou parcelado. Deve acompanhar a variável 973. Caso o pagamento seja a vista, retornar o campo como nulo ou 0.</t>
  </si>
  <si>
    <t>1
3
5</t>
  </si>
  <si>
    <t>g_stbr_c360.postran_bills_cus</t>
  </si>
  <si>
    <t>payment_vehicle_taxes_due_installment_number</t>
  </si>
  <si>
    <t>_santanderamerica.identdata_cus.vehcle.nat_registration_issuing_sta</t>
  </si>
  <si>
    <t>nat_registration_issuing_sta</t>
  </si>
  <si>
    <t>Nome do Estado emissor do RENAVAM cadastrado pelo cliente no app</t>
  </si>
  <si>
    <t>Trazer o nome do estado do cliente no RENAVAM, caso não tenha, constar como NULO.</t>
  </si>
  <si>
    <t>SP
RS
MG</t>
  </si>
  <si>
    <t>vehicle_national_registration_issuing_status</t>
  </si>
  <si>
    <t xml:space="preserve"> _santanderamerica.identdata_cus.agro_prd_note_flg</t>
  </si>
  <si>
    <t>agro_prd_note_flg</t>
  </si>
  <si>
    <t>Indicador de consentimento da Cédula de Produto Rural</t>
  </si>
  <si>
    <t>Trazer clientes que possuem a marcação como true. Nulos e clientes não presentes na base devem ser false.</t>
  </si>
  <si>
    <t xml:space="preserve">agro_product_note_indicator </t>
  </si>
  <si>
    <t xml:space="preserve"> _santanderamerica.identemployee_cus.company_code</t>
  </si>
  <si>
    <t>company_code</t>
  </si>
  <si>
    <t>Código da empresa em que o funcionário Santander trabalha</t>
  </si>
  <si>
    <t>Usando a base de funcionários, trazer o número do código da empresa, exemplo: 008 (Santander), 505, 606, etc.</t>
  </si>
  <si>
    <t>606
618
653</t>
  </si>
  <si>
    <t>_santanderamerica.identemployee_cus.occupation_code</t>
  </si>
  <si>
    <t>occupation_code</t>
  </si>
  <si>
    <t>Código do cargo em que o funcionário Santander trabalha</t>
  </si>
  <si>
    <t>Usando a base de funcionários, trazer o número do código em que o funcionário desempenha seu cargo.</t>
  </si>
  <si>
    <t>B63416
B63566
100003</t>
  </si>
  <si>
    <t>_santanderamerica.identemployee_cus.start_dte</t>
  </si>
  <si>
    <t>start_dte</t>
  </si>
  <si>
    <t>Data de admissão (Funcionário Santander)</t>
  </si>
  <si>
    <t>Informar a data de admissão do funcionário de qualquer uma das empresas do Grupo Santander. A informação hoje vem da base de funcionários (H5)</t>
  </si>
  <si>
    <t>2011-05-20
2021-03-04
2023-06-06</t>
  </si>
  <si>
    <t xml:space="preserve">start_date </t>
  </si>
  <si>
    <t>_santanderamerica.feature.customer_migration_flg</t>
  </si>
  <si>
    <t>customer_migration_flg</t>
  </si>
  <si>
    <t>Indicador de restrição Plard</t>
  </si>
  <si>
    <t>Indicar clientes que já foram migrados para o processamento PLARD</t>
  </si>
  <si>
    <t>status_plard_migration</t>
  </si>
  <si>
    <t>_santanderamerica.intprofile_cus.acc.acc_spl_cdtn_code</t>
  </si>
  <si>
    <t>acc_spl_cdtn_code</t>
  </si>
  <si>
    <t>Código da condição especial do cliente</t>
  </si>
  <si>
    <t>Trazer a informação mais recente referente a conta principal do cliente.</t>
  </si>
  <si>
    <t>01
10</t>
  </si>
  <si>
    <t>cd_cond_espc_clie</t>
  </si>
  <si>
    <t>_santanderamerica.postr_pst_cus.instpymt.feature.snt_same_owshp_l30d_nr</t>
  </si>
  <si>
    <t>snt_same_owshp_l30d_nr</t>
  </si>
  <si>
    <t>Quantidade de PIX realizado para a mesma titularidade nos últimos 30 dias</t>
  </si>
  <si>
    <t>Capturar quantidade de PIX realizado para o Santander via mesma titularidade nos últimos 30 dias.</t>
  </si>
  <si>
    <t>1
4
3</t>
  </si>
  <si>
    <t>instant_payment_sent_same_ownership_last_30_days_number</t>
  </si>
  <si>
    <t>_santanderamerica.regression_model.customer_mkt_prftblty_val_mt</t>
  </si>
  <si>
    <t>customer_mkt_prftblty_val_mt</t>
  </si>
  <si>
    <t>Potencial de rentabilidade total no mercado/concorrência em todos os produtos</t>
  </si>
  <si>
    <t xml:space="preserve">Trazer a informação referente ao último calculo feito pelo Lab. </t>
  </si>
  <si>
    <t>554.19
9.16
97.50</t>
  </si>
  <si>
    <t>customer_market_profitability_value_amount</t>
  </si>
  <si>
    <t>_santanderamerica.contract_cus.deposit_prize_linked.expy_lst_dte</t>
  </si>
  <si>
    <t>expy_lst_dte</t>
  </si>
  <si>
    <t>Capitalização - Última data de vencimento</t>
  </si>
  <si>
    <t>Última data de vencimento do produto capitalização</t>
  </si>
  <si>
    <t>2011-07-20
2021-07-27
2023-07-09</t>
  </si>
  <si>
    <t>deposit_prize_linked_expiry_last_date</t>
  </si>
  <si>
    <t xml:space="preserve"> _santanderamerica.contract_cus.account.cmrclztn_chnl_code</t>
  </si>
  <si>
    <t>account.cmrclztn_chnl_code</t>
  </si>
  <si>
    <t>Código do canal origem da abertura da conta corrente.</t>
  </si>
  <si>
    <t>074
103
092</t>
  </si>
  <si>
    <t>account_commercialization_channel_code</t>
  </si>
  <si>
    <t>_santanderamerica.intprofile_cus.reten_lst_dte</t>
  </si>
  <si>
    <t>reten_lst_dte</t>
  </si>
  <si>
    <t>Data da retenção do cliente</t>
  </si>
  <si>
    <t>Data mais recente em que houve a retenção do cliente, via C3.</t>
  </si>
  <si>
    <t>2025-11-04
2026-01-14
2025-11-06</t>
  </si>
  <si>
    <t>account_retained_date</t>
  </si>
  <si>
    <t>_santanderamerica.channelactivity_digitalnavegation_cus.device_last_login_brand_name</t>
  </si>
  <si>
    <t>device_last_login_brand_name</t>
  </si>
  <si>
    <t>Marca do celular</t>
  </si>
  <si>
    <t>Trazer a marca do celular para auxiliar na diferenciação de celulares que permitem o cadastro de uma carteira digital.</t>
  </si>
  <si>
    <t>Apple
Xiomi
Samsung</t>
  </si>
  <si>
    <t>_santanderamerica.postran_cus.credit_card.feature.istlmt_plan_l12m_nr</t>
  </si>
  <si>
    <t>feature.istlmt_plan_l12m_nr</t>
  </si>
  <si>
    <t>Descrição do contrato de parcelamento de compra</t>
  </si>
  <si>
    <t>Traz a quantidade por tipo de contrato (se esporádico ou recorrente) do parcelamento de compras.</t>
  </si>
  <si>
    <t>2025
1296
784</t>
  </si>
  <si>
    <t xml:space="preserve"> g_stbr_c360.postran_positions_cus</t>
  </si>
  <si>
    <t>credit_card_installment_plan_last_12_months_number</t>
  </si>
  <si>
    <t>_santanderamerica.ext_ent_prd_srvcs_det.ext_ent_postr_det.trst.lst_snt_dte</t>
  </si>
  <si>
    <t>lst_snt_dte</t>
  </si>
  <si>
    <t>Data da última transação do produto</t>
  </si>
  <si>
    <t>2025-11-04
2026-08-02
2025-05-21</t>
  </si>
  <si>
    <t>transaction_last_sent_date</t>
  </si>
  <si>
    <t>"CREATE OR REPLACE TABLE sand_c360.external_entities_det as
WITH AUX_UPPER AS
(
SELECT NR_CPF_CNPJ,
       TP_PESS,
       UPPER(CRED_DEBT_TIPO) AS CRED_DEBT_TIPO,
       UPPER(DS_SUBA) AS DS_SUBA,
       UPPER(DS_TRAN) AS DS_TRAN,
       UPPER(DS_CATG) AS DS_CATG,
       UPPER(NM_BANC_CSTM) AS NM_BANC_CSTM,
       VL_TRAN,
       DT_REFE
FROM   s_stbr_drm_nba.catg_prod_tran
) ,
catg_prod_tran AS
(
SELECT NR_CPF_CNPJ,
       DESC_PROD,
       CRED_DEBT_TIPO AS CRED_DEBT_TIPO,
       TP_PESS AS TP_PESS,
       SUM(VL_TRAN) AS VL_TRAN,
       MAX(DT_REFE) AS DT_REFE,
       NM_BANC_CSTM AS NM_BANC_CSTM,
       TRANSACTION_LAST_12_MONTHS_AVERAGE_AMOUNT,
       TRANSACTION_LAST_30_DAYS_TOTAL_AMOUNT
FROM   (
        SELECT *,
               CASE WHEN   DS_SUBA IN ('CDB_RDB','APLICACOES')
                     AND   (   DS_TRAN LIKE '%CDB%'
                            OR DS_TRAN LIKE '%INVEST FACIL%'
                            OR DS_TRAN LIKE '%AUT%'
                           )
                     AND   DS_TRAN LIKE '%RES%'
                    THEN 'CONTAMAX'
                    ELSE DS_SUBA
               END AS DESC_PROD,
               AVG(CASE WHEN DT_REFE &gt;= ADD_MONTHS(CURRENT_DATE(),-12) THEN VL_TRAN END) OVER (PARTITION BY  NR_CPF_CNPJ, DS_SUBA, CRED_DEBT_TIPO, TP_PESS) AS TRANSACTION_LAST_12_MONTHS_AVERAGE_AMOUNT,
               SUM(CASE WHEN DT_REFE &gt;= DATE_ADD(CURRENT_DATE(),-30) THEN VL_TRAN END) OVER (PARTITION BY  NR_CPF_CNPJ, DS_SUBA, TP_PESS) AS TRANSACTION_LAST_30_DAYS_TOTAL_AMOUNT,
               ROW_NUMBER() OVER (PARTITION BY NR_CPF_CNPJ, DS_SUBA, CRED_DEBT_TIPO, TP_PESS ORDER BY DT_REFE DESC) as rn
        FROM   AUX_UPPER
        WHERE  DS_SUBA IN ('SEGURO AUTOMOTIVO',
                           'SEGURO RESIDENCIAL',
                           'SEGURO CARTAO',
                           'SEGURO DE VIDA',
                           'ASSISTENCIA PESSOAL',
                           'SEGURO TRANSACAO',
                           'TARIFA PACOTE DE SERVIÇOS',
                           'TARIFA PIX',
                           'PAGAMENTO DE SALARIO VIA FOPA',
                           'PAGAMENTO DE SALARIO',
                           'PIX RECEBIDO PJ' --INCLUSAO
                           )
          OR  (      DS_SUBA =  'TARIFA SAQUE'
               AND   NM_BANC_CSTM NOT IN ('SANTANDER-PF', 'CARTOES')
               AND   DS_TRAN LIKE '%SAQ%'
              )
          OR  (      DS_SUBA IN ('CDB_RDB','APLICACOES')
               AND   (   DS_TRAN LIKE '%CDB%'
                      OR DS_TRAN LIKE '%INVEST FACIL%'
                      OR DS_TRAN LIKE '%AUT%'
                     )
               AND    DS_TRAN LIKE '%RES%'
              )
       )
WHERE  RN = 1
GROUP BY ALL
UNION ALL
SELECT NR_CPF_CNPJ,
       DS_CATG AS DESC_PROD,
       CRED_DEBT_TIPO,
       TP_PESS, 
       VL_TRAN,
       DT_REFE,
       NM_BANC_CSTM AS NM_BANC_CSTM,
       TRANSACTION_LAST_12_MONTHS_AVERAGE_AMOUNT,
       TRANSACTION_LAST_30_DAYS_TOTAL_AMOUNT
FROM   (
        SELECT *,
               AVG(CASE WHEN DT_REFE &gt;= ADD_MONTHS(CURRENT_DATE(),-12) THEN VL_TRAN END) OVER (PARTITION BY  NR_CPF_CNPJ, DS_SUBA, CRED_DEBT_TIPO, TP_PESS) AS TRANSACTION_LAST_12_MONTHS_AVERAGE_AMOUNT,
               SUM(CASE WHEN DT_REFE &gt;= DATE_ADD(CURRENT_DATE(),-30) THEN VL_TRAN END) OVER (PARTITION BY  NR_CPF_CNPJ, DS_SUBA, TP_PESS, NM_BANC_CSTM) AS TRANSACTION_LAST_30_DAYS_TOTAL_AMOUNT,
               ROW_NUMBER() OVER (PARTITION BY NR_CPF_CNPJ, DS_CATG, CRED_DEBT_TIPO, TP_PESS ORDER BY DT_REFE DESC) as rn
        FROM   AUX_UPPER
        where  DS_CATG IN ('CONSORCIO',
                           'ADQUIRENCIA',
                           'CAPITALIZACAO',
                           'CAMBIO',
                           'PREVIDENCIA',
                           'TARIFAS')
       )
WHERE  RN = 1
)
SELECT   nr_cpf_cnpj,
         CASE WHEN tp_pess = 'PF' THEN 'F'
              WHEN tp_pess = 'PJ' THEN 'J'
         END AS cd_tipo_pess,
         'Open Finance System' AS external_entity_name,
         DESC_PROD as product_description,
         MAX(CASE WHEN cred_debt_tipo = 'DEBITO'  THEN dt_refe end) as transaction_last_sent_date,
         MAX(CASE WHEN cred_debt_tipo = 'CREDITO' THEN dt_refe end) as last_received_date,
         MAX_BY(NM_BANC_CSTM,DT_REFE) as bank_name,
         MAX_BY(VL_TRAN,DT_REFE) as last_amount,
         NULL AS lowest_rate,
         NULL AS highest_rate,
         NULL AS next_expiry_date,
         NULL as transaction_last_day_total_amount,
         MAX(TRANSACTION_LAST_30_DAYS_TOTAL_AMOUNT) as transaction_last_30_days_total_amount,
         NULL as transaction_last_12_months_total_number,
         MAX(CASE WHEN cred_debt_tipo = 'DEBITO'  THEN TRANSACTION_LAST_12_MONTHS_AVERAGE_AMOUNT end) as transaction_last_12_months_average_amount,
         NULL AS product_number,
         NULL AS amount,
         NULL as installment_outstanding_number,
         NULL AS installment_last_date,
         NULL as tenor_number,
         NULL as installment_overdue_number
from     catg_prod_tran
group by all
UNION ALL
SELECT  NR_CPF_CNPJ,
        CD_TIPO_PESS,
        'Open Finance System' AS external_entity_name,
        'CREDITO PESSOAL USECASA' as product_description,
        NULL as transaction_last_sent_date,    
        NULL as last_received_date,
        NULL as bank_name,
        NULL as last_amount,
        vl_mini_taxa_heqt_ofin_clie AS lowest_rate,
      vl_maxi_taxa_heqt_ofin_clie AS highest_rate,
        NULL as next_expiry_date,
        NULL as transaction_last_day_total_amount,
        NULL as transaction_last_30_days_total_amount,
        NULL as transaction_last_12_months_total_number,
        NULL as transaction_last_12_months_average_amount,
        NULL AS product_number,
        NULL AS amount,
        NULL as installment_outstanding_number,
        NULL AS installment_last_date,
        NULL as tenor_number,
        NULL as installment_overdue_number
from    g_stbr_c360.patr_exte_ofinc_empt
where   dt_refe = (select max(dt_refe) from g_stbr_c360.patr_exte_ofinc_empt)
UNION ALL
SELECT  NR_CPF_CNPJ,
        CD_TIPO_PESS,
        'Open Finance System' AS external_entity_name,
        'KGIRO' as product_description,
        NULL as transaction_last_sent_date,
        NULL as last_received_date,
        NULL as bank_name,
        NULL as last_amount,
        vl_prox_cntr_kgiro_ofin_clien AS lowest_rate,
      vl_prox_cntr_kgiro_ofin_clien AS highest_rate,
        dt_venc_prox_cntr_kgiro_ofin_clien as next_expiry_date,
        NULL as transaction_last_day_total_amount,
        NULL as transaction_last_30_days_total_amount,
        NULL as transaction_last_12_months_total_number,
        NULL as transaction_last_12_months_average_amount,
        NULL AS product_number,
        coalesce(vl_cntr_kgiro_teto_rttv_ofin_clie, 0) + coalesce(vl_cntr_kgiro_praz_venc_365_dia_ofin_clie, 0) + coalesce(vl_cntr_kgiro_praz_venc_sper_365_dia_ofin_clie, 0) AS amount,
        (coalesce(qt_totl_parc_rena_kgiro_teto_rttv_ofinc, 0) + coalesce(qt_totl_parc_rena_kgiro_praz_venc_365_dia_ofinc, 0) + coalesce(qt_totl_parc_rena_kgiro_praz_venc_sper_365_dia_ofinc,0)) AS installment_outstanding_number,
        greatest(dt_ulti_pgto_parc_kgiro_teto_rttv_ofinc,dt_ulti_pgto_parc_kgiro_praz_venc_365_dia_ofinc,dt_ulti_pgto_parc_kgiro_praz_venc_sper_365_dia_ofinc) AS installment_last_date,
        NULL as tenor_number,
        NULL as installment_overdue_number
from    g_stbr_c360.patr_exte_ofinc_empt
where   dt_refe = (select max(dt_refe) from g_stbr_c360.patr_exte_ofinc_empt)
UNION ALL
SELECT  NR_CPF_CNPJ,
        CD_TIPO_PESS,
        'Open Finance System' AS external_entity_name,
        'CREDITO PESSOAL INVESTIDOR' as product_description,
        NULL as transaction_last_sent_date,
        NULL as last_received_date,
        NULL as bank_name,
        NULL as last_amount,
        vl_mini_taxa_cp_inve_ofin_clie AS lowest_rate,
      vl_maxi_taxa_cp_inve_ofin_clie AS highest_rate,
        dt_venc_prox_cntr_kgiro_ofin_clien as next_expiry_date,
        NULL as transaction_last_day_total_amount,
        NULL as transaction_last_30_days_total_amount,
        NULL as transaction_last_12_months_total_number,
        NULL as transaction_last_12_months_average_amount,
        NULL AS product_number,
        NULL AS amount,
        NULL as installment_outstanding_number,
        NULL AS installment_last_date,
        NULL as tenor_number,
        NULL as installment_overdue_number
from    g_stbr_c360.patr_exte_ofinc_empt
where   dt_refe = (select max(dt_refe) from g_stbr_c360.patr_exte_ofinc_empt)
UNION ALL
SELECT  NR_CPF_CNPJ,
        CD_TIPO_PESS,
        'Open Finance System' AS external_entity_name,
        'FOPA' as product_description,
        NULL as transaction_last_sent_date,
        NULL as last_received_date,
        DS_INST_RECB_SALR as bank_name,
        NULL as last_amount,
        NULL AS lowest_rate,
      NULL AS highest_rate,
        NULL as next_expiry_date,
        NULL as transaction_last_day_total_amount,
        NULL as transaction_last_30_days_total_amount,
        NULL as transaction_last_12_months_total_number,
        NULL as transaction_last_12_months_average_amount,
        NULL AS product_number,
        NULL AS amount,
        NULL as installment_outstanding_number,
        NULL AS installment_last_date,
        NULL as tenor_number,
        NULL as installment_overdue_number
from    g_stbr_c360.patr_exte_ofinc_cnta_tran
where   dt_refe = (select max(dt_refe) from g_stbr_c360.patr_exte_ofinc_cnta_tran)
UNION ALL
SELECT  NR_CPF_CNPJ,
        CD_TIPO_PESS,
        'Open Finance System' AS external_entity_name,
        'TRANSFERENCIAS INTELIGENTES' as product_description,
        dt_ulti_traf_itnt as transaction_last_sent_date,
        NULL as last_received_date,
        nm_banc_ulti_traf_itnt as bank_name,
        NULL as last_amount,
        NULL AS lowest_rate,
      NULL AS highest_rate,
        NULL as next_expiry_date,
        vl_traf_itnt as transaction_last_day_total_amount,
        vl_traf_itnt_ulti_mes as transaction_last_30_days_total_amount,
        qt_traf_itnt_ulti_ano as transaction_last_12_months_total_number,
        NULL as transaction_last_12_months_average_amount,
        NULL AS product_number,
        NULL AS amount,
        NULL as installment_outstanding_number,
        NULL AS installment_last_date,
        NULL as tenor_number,
        NULL as installment_overdue_number
from    g_stbr_c360.posi_movi_traf_itnt
where   dt_refe = (select max(dt_refe) from g_stbr_c360.posi_movi_traf_itnt)
UNION ALL
SELECT  NR_CPF_CNPJ,
        CD_TIPO_PESS,
        'Open Finance System' AS external_entity_name,
        'PARCELAMENTO DE FATURA' as product_description,
        NULL as transaction_last_sent_date,
        NULL as last_received_date,
        NULL as bank_name,
        NULL as last_amount,
        NULL AS lowest_rate,
      NULL AS highest_rate,
        NULL as next_expiry_date,
        NULL as transaction_last_day_total_amount,
        NULL as transaction_last_30_days_total_amount,
        NULL as transaction_last_12_months_total_number,
        NULL as transaction_last_12_months_average_amount,
        qt_parc_fatu_ativ AS product_number,
        NULL AS amount,
        NULL as installment_outstanding_number,
        NULL AS installment_last_date,
        NULL as tenor_number,
        NULL as installment_overdue_number
from    g_stbr_c360.patr_exte_ofinc_ccre
where   am_refe = (select max(am_refe) from g_stbr_c360.patr_exte_ofinc_ccre)
UNION ALL
SELECT  NR_CPF_CNPJ,
        CD_TIPO_PESS,
        'Open Finance System' AS external_entity_name,
        'CONSIGNADO' as product_description,
        NULL as transaction_last_sent_date,
        NULL as last_received_date,
        NULL as bank_name,
        NULL as last_amount,
        vl_mini_taxa_cred_pess_conn_ofin_clie AS lowest_rate,
      vl_maxi_taxa_cred_pess_conn_ofin_clie AS highest_rate,
        NULL as next_expiry_date,
        NULL as transaction_last_day_total_amount,
        NULL as transaction_last_30_days_total_amount,
        NULL as transaction_last_12_months_total_number,
        NULL as transaction_last_12_months_average_amount,
        NULL AS product_number,
        vl_cntr_cred_pess_conn_ofin_clie AS amount,
        NULL as installment_outstanding_number,
        NULL AS installment_last_date,
        NULL as tenor_number,
        NULL as installment_overdue_number
from    g_stbr_c360.patr_exte_ofinc_empt
where   dt_refe = (select max(dt_refe) from g_stbr_c360.patr_exte_ofinc_empt)
UNION ALL
SELECT  NR_CPF_CNPJ,
        CD_TIPO_PESS,
        'Open Finance System' AS external_entity_name,
        'CREDITO PESSOAL' as product_description,
        NULL as transaction_last_sent_date,
        NULL as last_received_date,
        NULL as bank_name,
        NULL as last_amount,
        vl_mini_taxa_cred_pess_sem_conn_ofin_clie AS lowest_rate,
      vl_maxi_taxa_cred_pess_sem_conn_ofin_clie AS highest_rate,
        NULL as next_expiry_date,
        NULL as transaction_last_day_total_amount,
        NULL as transaction_last_30_days_total_amount,
        NULL as transaction_last_12_months_total_number,
        NULL as transaction_last_12_months_average_amount,
        NULL AS product_number,
        vl_cntr_cred_pess_sem_conn_ofin_clie AS amount,
        NULL as installment_outstanding_number,
        NULL AS installment_last_date,
        NULL as tenor_number,
        NULL as installment_overdue_number
from    g_stbr_c360.patr_exte_ofinc_empt
where   dt_refe = (select max(dt_refe) from g_stbr_c360.patr_exte_ofinc_empt)
UNION ALL
SELECT  NR_CPF_CNPJ,
        CD_TIPO_PESS,
        'Open Finance System' AS external_entity_name,
        'CREDITO IMOBILIARIO' as product_description,
        NULL as transaction_last_sent_date,
        NULL as last_received_date,
        NULL as bank_name,
        NULL as last_amount,
        NULL AS lowest_rate,
      NULL AS highest_rate,
        NULL as next_expiry_date,
        NULL as transaction_last_day_total_amount,
        NULL as transaction_last_30_days_total_amount,
        NULL as transaction_last_12_months_total_number,
        NULL as transaction_last_12_months_average_amount,
        NULL AS product_number,
        NULL AS amount,
        qt_totl_parc_rena_crim_ofinc as installment_outstanding_number,
        NULL AS installment_last_date,
        qt_totl_parc_crim_ofinc as tenor_number,
        qt_totl_parc_venc_crim_ofinc as installment_overdue_number
from    g_stbr_c360.patr_exte_ofinc_finc
where   dt_refe = (select max(dt_refe) from g_stbr_c360.patr_exte_ofinc_finc)
UNION ALL
SELECT  NR_CPF_CNPJ,
        CD_TIPO_PESS,
        'Open Finance System' AS external_entity_name,
        'FINANCIAMENTO AUTO' as product_description,
        NULL as transaction_last_sent_date,
        NULL as last_received_date,
        NULL as bank_name,
        NULL as last_amount,
        NULL AS lowest_rate,
      NULL AS highest_rate,
        NULL as next_expiry_date,
        NULL as transaction_last_day_total_amount,
        NULL as transaction_last_30_days_total_amount,
        NULL as transaction_last_12_months_total_number,
        NULL as transaction_last_12_months_average_amount,
        NULL AS product_number,
        NULL AS amount,
        qt_totl_parc_rena_aqui_bem_veic_aumt_ofinc as installment_outstanding_number,
        NULL AS installment_last_date,
        qt_totl_parc_aqui_bem_veic_aumt_ofinc as tenor_number,
        qt_totl_parc_venc_aqui_bem_veic_aumt_ofinc as installment_overdue_number
from    g_stbr_c360.patr_exte_ofinc_finc
where   dt_refe = (select max(dt_refe) from g_stbr_c360.patr_exte_ofinc_finc)
UNION ALL
SELECT  NR_CPF_CNPJ,
        CD_TIPO_PESS,
        'Open Finance System' AS external_entity_name,
        'POUPANCA' as product_description,
        NULL as transaction_last_sent_date,
        NULL as last_received_date,
        NULL as bank_name,
        NULL as last_amount,
        NULL AS lowest_rate,
      NULL AS highest_rate,
        NULL as next_expiry_date,
        NULL as transaction_last_day_total_amount,
        NULL as transaction_last_30_days_total_amount,
        NULL as transaction_last_12_months_total_number,
        NULL as transaction_last_12_months_average_amount,
        NULL AS product_number,
        vl_sald_cnta_poup AS amount,
        NULL as installment_outstanding_number,
        NULL AS installment_last_date,
        NULL as tenor_number,
        NULL as installment_overdue_number
from    g_stbr_c360.patr_exte_ofinc_cnta
where   dt_refe = (select max(dt_refe) from g_stbr_c360.patr_exte_ofinc_cnta)"</t>
  </si>
  <si>
    <t>Canal</t>
  </si>
  <si>
    <t>Case</t>
  </si>
  <si>
    <t>Domínio</t>
  </si>
  <si>
    <t>Status Geral</t>
  </si>
  <si>
    <t>Data C360</t>
  </si>
  <si>
    <t>Data CDP</t>
  </si>
  <si>
    <t>Data Disponibilização Uso</t>
  </si>
  <si>
    <t>Mobile PF</t>
  </si>
  <si>
    <t>Migração</t>
  </si>
  <si>
    <t>Riscos</t>
  </si>
  <si>
    <t>Data de ganho de PAP de CP PURO</t>
  </si>
  <si>
    <t>Bloqueio Origem</t>
  </si>
  <si>
    <t>TBD</t>
  </si>
  <si>
    <t>Cartões</t>
  </si>
  <si>
    <t>Motivo de inseção anuidade cartão</t>
  </si>
  <si>
    <t>Porcentagem de inseção anuidade cartão</t>
  </si>
  <si>
    <t>Canais</t>
  </si>
  <si>
    <t>Quantidade de visitas na agência</t>
  </si>
  <si>
    <t>Pricing</t>
  </si>
  <si>
    <t>Redução de taxa de CP PURO</t>
  </si>
  <si>
    <t>Última data de ganho de PAP use casa</t>
  </si>
  <si>
    <t>Última data de redução de taxa de consignado puro</t>
  </si>
  <si>
    <t>One Digital</t>
  </si>
  <si>
    <t>23. Shopping Santander</t>
  </si>
  <si>
    <t>Data da última compra no Shopping Santander</t>
  </si>
  <si>
    <t>Esfera</t>
  </si>
  <si>
    <t>Data do próximo vencimento de pontos esfera</t>
  </si>
  <si>
    <t>Quantidade de pontos prestes a vencer (esfera)</t>
  </si>
  <si>
    <t>Multiverso</t>
  </si>
  <si>
    <t>Compliance</t>
  </si>
  <si>
    <t>Indicador KYC</t>
  </si>
  <si>
    <t>Assisted Channel (Back)</t>
  </si>
  <si>
    <t>Migração Back - Fase 2</t>
  </si>
  <si>
    <t>Previdência</t>
  </si>
  <si>
    <t>Nome do banco para que foi solicitado o extrato de previdência do cliente (DS_BANCO_EXTR_PREV)</t>
  </si>
  <si>
    <t>Modelos</t>
  </si>
  <si>
    <t>Quantidade de dias da última transação de previdência - Open Finance (QTD_DIAS_PREV_OFIN)</t>
  </si>
  <si>
    <t>Homologação CDP</t>
  </si>
  <si>
    <t>Trazer a data de pagamento mais recente. Clientes que pagam seguro AP em outras IF de acordo com os dados categorizados de OF (IN_POSSE_SEGR_AP_OF)</t>
  </si>
  <si>
    <t>URA</t>
  </si>
  <si>
    <t>Tarifas</t>
  </si>
  <si>
    <t>Indicador de cliente que utiliza outros serviços além do pacote contratado no banco</t>
  </si>
  <si>
    <t>Mobile PF 2</t>
  </si>
  <si>
    <t>Rentabilização - Open Finance</t>
  </si>
  <si>
    <t>Crédito Pessoal</t>
  </si>
  <si>
    <t>Taxa de consignado (Santander)</t>
  </si>
  <si>
    <t>Open Finance</t>
  </si>
  <si>
    <t>Taxa ofertada de crédito pessoal (Santander)</t>
  </si>
  <si>
    <t>Variante do cartão com maior limite consumido no mercado</t>
  </si>
  <si>
    <t>Desenvolvimento C360</t>
  </si>
  <si>
    <t>Transferências Inteligentes</t>
  </si>
  <si>
    <t>Data da última transação inteligente</t>
  </si>
  <si>
    <t>Bug/Revisão</t>
  </si>
  <si>
    <t>Consignado</t>
  </si>
  <si>
    <t>Valor da última movimentação de limite implantado</t>
  </si>
  <si>
    <t>E-mail</t>
  </si>
  <si>
    <t>Migração E-mail</t>
  </si>
  <si>
    <t>Parcelados</t>
  </si>
  <si>
    <t>Taxa de oferta de crédito consignado para clientes de folhas perdidas</t>
  </si>
  <si>
    <t>Renegociação</t>
  </si>
  <si>
    <t>Data do próximo vencimento do contrato de empréstimo</t>
  </si>
  <si>
    <t>Parcelamento de Fatura - Territórios</t>
  </si>
  <si>
    <t>Data fim do contrato de parcelamento de fatura</t>
  </si>
  <si>
    <t>Consignado - Taxas</t>
  </si>
  <si>
    <t>Percentual de desconto de taxa da última redução</t>
  </si>
  <si>
    <t>Taxas de Crédito Open Finace</t>
  </si>
  <si>
    <t>Taxa de CP Investidor (Santander)</t>
  </si>
  <si>
    <t>Conta Corrente</t>
  </si>
  <si>
    <t>Taxa de CP Use Casa (Santander)</t>
  </si>
  <si>
    <t>CP Investidor - Taxas</t>
  </si>
  <si>
    <t>Ganho de PAP de CP Investidor</t>
  </si>
  <si>
    <t>Conta Paralisada</t>
  </si>
  <si>
    <t>Cliente com conta paralisada com reativação</t>
  </si>
  <si>
    <t>Dados de Consignado</t>
  </si>
  <si>
    <t>Data do último ganho de PAP Consignado</t>
  </si>
  <si>
    <t>Valor do último ganho de PAP Consignado</t>
  </si>
  <si>
    <t>Valor do ganho de PAP de CP Investidor</t>
  </si>
  <si>
    <t>CP Puro - Taxas</t>
  </si>
  <si>
    <t>Valor do ganho de PAP de CP Puro</t>
  </si>
  <si>
    <t>Percentual do índice de utilização do cheque especial</t>
  </si>
  <si>
    <t>Desenvolvimento CDP</t>
  </si>
  <si>
    <t>Comprometimento de Renda</t>
  </si>
  <si>
    <t>% de renda comprometida pela fatura</t>
  </si>
  <si>
    <t>Quantidade de renegociação de cartão ativas</t>
  </si>
  <si>
    <t>Recuperação</t>
  </si>
  <si>
    <t>Quantidade de atrasos nos últimos 6 meses</t>
  </si>
  <si>
    <t>Políticas - CP Renovado</t>
  </si>
  <si>
    <t>Perfil indicativo para CP Renovado</t>
  </si>
  <si>
    <t>Taxas de Parcelados</t>
  </si>
  <si>
    <t>Redução de taxa de parcelamento de compra</t>
  </si>
  <si>
    <t>Payments</t>
  </si>
  <si>
    <t>Quantidade de boletos emitidos , não pagos e não agendados</t>
  </si>
  <si>
    <t>Whats App</t>
  </si>
  <si>
    <t>Jornada Seguros</t>
  </si>
  <si>
    <t>Quantidade de reclamações abertas de seguros</t>
  </si>
  <si>
    <t>Push</t>
  </si>
  <si>
    <t>Migração Push</t>
  </si>
  <si>
    <t>Data do pedido de cartão de crédito recusado nos últimos 30 dias</t>
  </si>
  <si>
    <t>Estrutural</t>
  </si>
  <si>
    <t>Range da última movimentação espontânea, de 10 em 10 dias</t>
  </si>
  <si>
    <t>Territórios - Crédito</t>
  </si>
  <si>
    <t>Valor máximo tomado de crédito no mercado, olhando os últimos 12 meses</t>
  </si>
  <si>
    <t>Investimentos</t>
  </si>
  <si>
    <t>Boletos</t>
  </si>
  <si>
    <t>Nome do produto de investimento que está vencido - Open Finance</t>
  </si>
  <si>
    <t>Folha Perdida</t>
  </si>
  <si>
    <t>Pix</t>
  </si>
  <si>
    <t>Data do primeiro crédito do salário na concorrência de clientes folha perdida</t>
  </si>
  <si>
    <t>Conta Kids</t>
  </si>
  <si>
    <t>Array com a visão de dependentes menores de idade</t>
  </si>
  <si>
    <t>Novo valor de limite de cartão para clientes elegíveis à comunicação de aumento</t>
  </si>
  <si>
    <t>Identificação de assistências</t>
  </si>
  <si>
    <t>Dados Externos</t>
  </si>
  <si>
    <t>Nome do investimento vencido no Santander</t>
  </si>
  <si>
    <t>Revisão do campo de investimento vencido e a vencer (retirar custódia remunerada)</t>
  </si>
  <si>
    <t>Pix Wallet</t>
  </si>
  <si>
    <t>Seguros</t>
  </si>
  <si>
    <t>Quantidade total de transações de pix wallet nos últimos 30 dias</t>
  </si>
  <si>
    <t>Valor total de transações de pix wallet nos últimos 30 dias</t>
  </si>
  <si>
    <t>NCOTAS</t>
  </si>
  <si>
    <t>Opt In N-Cotas</t>
  </si>
  <si>
    <t>PAP Open Finance</t>
  </si>
  <si>
    <t>Elegível a aumento de limite após consentimento de Open Finance</t>
  </si>
  <si>
    <t>Nome da instituição de vencimento do consentimento</t>
  </si>
  <si>
    <t>Pix Cartão</t>
  </si>
  <si>
    <t>Consórcio</t>
  </si>
  <si>
    <t>Redução de taxa de pix no cartão</t>
  </si>
  <si>
    <t>Quantidade de dependentes menor de idade em seguros</t>
  </si>
  <si>
    <t>Aumento de Limites</t>
  </si>
  <si>
    <t>Data do aumento de limite implantado</t>
  </si>
  <si>
    <t>Data do último pagamento manual de boleto sem agendamento</t>
  </si>
  <si>
    <t>Migração Back</t>
  </si>
  <si>
    <t>Taxa ofertada para reter pedidos de portabilidade dos clientes de consignado</t>
  </si>
  <si>
    <t>Taxa ofertada pela outra instituição financeira para portar o contrato do nosso cliente</t>
  </si>
  <si>
    <t>Cash</t>
  </si>
  <si>
    <t>VALOR DO SALDO DO CONTRATO DE CONSIGNADO INFORMADO NA SOLICITAÇÃO DE PORTABILIDADE PARA OUTRA INSTITUIÇÃO FINANCEIRA.</t>
  </si>
  <si>
    <t>Quantidade de dias que a pessoa pediu portabilidade de previdência.</t>
  </si>
  <si>
    <t>Variáveis Pendentes</t>
  </si>
  <si>
    <t>Subproduto da Isenção</t>
  </si>
  <si>
    <t>CÓDIGO DE ELEGIBILIDADE DE MAIOR SALTO PARA UPGRADE DO CARTÃO (CD_ELEG_UP_MAIOR_SALTO)</t>
  </si>
  <si>
    <t>Quantidade de dias que o cliente teve a proposta de Usecasa negada. (QTD_DIAS_PROP_NEG_USECASA)</t>
  </si>
  <si>
    <t>Quantidade de dias que o cliente teve a proporta de credito imobiliario negada (QTD_DIAS_PROP_NEG_IMOB)</t>
  </si>
  <si>
    <t>Quantidade de dias úteis do pedido do extrato de previdência (QTD_DIAS_EXTR_PREV)</t>
  </si>
  <si>
    <t>Crédito Imobiliário</t>
  </si>
  <si>
    <t>Valor do prêmio de seguro vida do cliente (VL_PREMIO_SEGURO_VIDA)</t>
  </si>
  <si>
    <t>Atributo que descreve a data do valor que o cliente irá receber após a venda de um imóvel (QTD_DIAS_FINAN_VISAO_VEND)</t>
  </si>
  <si>
    <t>Atributo que descreve a fase de venda do cliente irá receber após a venda de um imovel (DS_FASE_FINAN_VISAO_VEND)</t>
  </si>
  <si>
    <t>Clientes que cancelaram algum seguro no último ano (IN_SEGR_CANC_ULT_ANO)</t>
  </si>
  <si>
    <t>Valor da taxa atual de pix no cartão</t>
  </si>
  <si>
    <t>Migração de Segmento</t>
  </si>
  <si>
    <t>Código anterior do segmento</t>
  </si>
  <si>
    <t>PAP Consórcio</t>
  </si>
  <si>
    <t>Valor pré análisado para contratação de consórcio moto</t>
  </si>
  <si>
    <t>Parcelados no Mercado</t>
  </si>
  <si>
    <t>Valor total de posse de parcelados no mercado</t>
  </si>
  <si>
    <t>Cadastro</t>
  </si>
  <si>
    <t>Última data de cancelamento de DAC pelo emissor</t>
  </si>
  <si>
    <t>Pendente Retorno Negócio</t>
  </si>
  <si>
    <t>Pendência de autorização de pagamento de DAC pelo emissor</t>
  </si>
  <si>
    <t>Valor pré análisado para contratação de consórcio auto</t>
  </si>
  <si>
    <t>Valor pré análisado para contratação de consórcio imóvel</t>
  </si>
  <si>
    <t>Quantidade de pagamentos via QR Code de Pix (Pix Checkout)</t>
  </si>
  <si>
    <t>Arrecadação - Tributos</t>
  </si>
  <si>
    <t>Data do último pagamento efetuado do Licenciamento veicular no Santander</t>
  </si>
  <si>
    <t>Remanejamento de Limites</t>
  </si>
  <si>
    <t>Ação de remanejamento ativa Opt In</t>
  </si>
  <si>
    <t>Status do remanejamento após Opt In ativo</t>
  </si>
  <si>
    <t>Data da última atualização cadastral do e-mail</t>
  </si>
  <si>
    <t>Amigo de Valor</t>
  </si>
  <si>
    <t>Data da última doação no Amigo de Valor</t>
  </si>
  <si>
    <t>NPS</t>
  </si>
  <si>
    <t>Propensão de Detratores URA</t>
  </si>
  <si>
    <t>Migração Prospect</t>
  </si>
  <si>
    <t>Endereço</t>
  </si>
  <si>
    <t>Sala VIP</t>
  </si>
  <si>
    <t>Elegibilidade sala VIP (Evento)</t>
  </si>
  <si>
    <t>Giro Virtual</t>
  </si>
  <si>
    <t>Pronome de tratamento</t>
  </si>
  <si>
    <t>Parcelamento de Fatura - Taxas</t>
  </si>
  <si>
    <t>Redução de Taxa de Parcelamento de Fatura</t>
  </si>
  <si>
    <t>Código pessoa (NR_PESS)</t>
  </si>
  <si>
    <t>DNR - Recuperações</t>
  </si>
  <si>
    <t>Bureau</t>
  </si>
  <si>
    <t>E-mail de cobrança</t>
  </si>
  <si>
    <t>Status do Gerente</t>
  </si>
  <si>
    <t>Identificação e Monitoramento</t>
  </si>
  <si>
    <t>Posse de cartão American Express (Amex)</t>
  </si>
  <si>
    <t>Valor de fatura para clientes American Express (Amex)</t>
  </si>
  <si>
    <t>FIT Energia</t>
  </si>
  <si>
    <t>Data de cadastro de FIT Energia</t>
  </si>
  <si>
    <t>Recursos Humanos</t>
  </si>
  <si>
    <t>EVENTO</t>
  </si>
  <si>
    <t>NOME</t>
  </si>
  <si>
    <t xml:space="preserve">Portabilidade </t>
  </si>
  <si>
    <t>abandoned-cart.portability</t>
  </si>
  <si>
    <t xml:space="preserve">Parcelamento de Fatura </t>
  </si>
  <si>
    <t>abandoned-cart.installment_plan</t>
  </si>
  <si>
    <t xml:space="preserve">Use Casa </t>
  </si>
  <si>
    <t>abandoned-cart.home_guarantee_credit'</t>
  </si>
  <si>
    <t xml:space="preserve">API Investimentos </t>
  </si>
  <si>
    <t>abandoned-cart.investment_api</t>
  </si>
  <si>
    <t>Câmbio</t>
  </si>
  <si>
    <t>abandoned-cart.foreign_exchange</t>
  </si>
  <si>
    <t xml:space="preserve">Open Finance </t>
  </si>
  <si>
    <t>abandoned-cart.open_finance</t>
  </si>
  <si>
    <t xml:space="preserve">Sala Vip </t>
  </si>
  <si>
    <t>eligibility.vip_lounge_card</t>
  </si>
  <si>
    <t xml:space="preserve">NPS PJ </t>
  </si>
  <si>
    <t>s_stbr_dgf_fpc.tabe_pesq_list_nps_cnal_pj</t>
  </si>
  <si>
    <t>Event Name</t>
  </si>
  <si>
    <t>Event Display Name</t>
  </si>
  <si>
    <t>Atualização</t>
  </si>
  <si>
    <t>Descrição</t>
  </si>
  <si>
    <t>OmniChannel Application Event Schema</t>
  </si>
  <si>
    <t>eventType</t>
  </si>
  <si>
    <t>Tipo de evento</t>
  </si>
  <si>
    <t>abandoned-cart.acoes</t>
  </si>
  <si>
    <t>Abandoned cart acoes investment product</t>
  </si>
  <si>
    <t>Online</t>
  </si>
  <si>
    <t>Carrinho abandonado de investimento ações</t>
  </si>
  <si>
    <t>abandoned-cart.AP</t>
  </si>
  <si>
    <t>Abandoned cart personal accident insurance</t>
  </si>
  <si>
    <t>Carrinho abandonado de seguro de acidentes pessoais</t>
  </si>
  <si>
    <t>abandoned-cart.aquisition</t>
  </si>
  <si>
    <t>Abandoned card aquisition</t>
  </si>
  <si>
    <t>Carrinho abandonado de aquisição (conta)</t>
  </si>
  <si>
    <t>abandoned-cart.assistencias-helps</t>
  </si>
  <si>
    <t xml:space="preserve">abandoned-cart.assistencias-helps </t>
  </si>
  <si>
    <t>Carrinho abandonado de Helps</t>
  </si>
  <si>
    <t>abandoned-cart.cartoes</t>
  </si>
  <si>
    <t>Abandoned cart Card</t>
  </si>
  <si>
    <t>Carrinho abandonado de cartões (aquisição)</t>
  </si>
  <si>
    <t>abandoned-cart.CASA</t>
  </si>
  <si>
    <t>Abandoned cart personal house insurance</t>
  </si>
  <si>
    <t>Carrinho abandonado de seguro residencial</t>
  </si>
  <si>
    <t>abandoned-cart.cdb</t>
  </si>
  <si>
    <t>Abandoned cart CDB product</t>
  </si>
  <si>
    <t>Carrinho abandonado de investimentos CDB</t>
  </si>
  <si>
    <t>abandoned-cart.combo-santander</t>
  </si>
  <si>
    <t xml:space="preserve">abandoned-cart.combo-santander </t>
  </si>
  <si>
    <t>Carrinho abandonado de Combos</t>
  </si>
  <si>
    <t>abandoned-cart.comex</t>
  </si>
  <si>
    <t xml:space="preserve">abandoned-cart.comex </t>
  </si>
  <si>
    <t>Carrinho abandonado de câmbio</t>
  </si>
  <si>
    <t>abandoned-cart.CP</t>
  </si>
  <si>
    <t>Abandoned card personal loan</t>
  </si>
  <si>
    <t>Carrinho abandonado de CP Puro</t>
  </si>
  <si>
    <t>abandoned-cart.cpi</t>
  </si>
  <si>
    <t>Abandoned card personal loan investment as collateral</t>
  </si>
  <si>
    <t>Carrinho abandonado de CP Investidor</t>
  </si>
  <si>
    <t>abandoned-cart.cpua</t>
  </si>
  <si>
    <t>Abandoned cart for the unified personal credit product</t>
  </si>
  <si>
    <t>Carrinho abandonado de CP Unificado</t>
  </si>
  <si>
    <t>abandoned-cart.debito-automatico</t>
  </si>
  <si>
    <t xml:space="preserve">abandoned-cart.debito-automatico </t>
  </si>
  <si>
    <t>Carrinho abandonado de DAC</t>
  </si>
  <si>
    <t>abandoned-cart.etf</t>
  </si>
  <si>
    <t>Abandoned cart ETF investment product</t>
  </si>
  <si>
    <t>Carrinho abandonado de investimentos ETF</t>
  </si>
  <si>
    <t>abandoned-cart.FGTS</t>
  </si>
  <si>
    <t>Abandoned card FGTS</t>
  </si>
  <si>
    <t>Carrinho abandonado de CP FGTS</t>
  </si>
  <si>
    <t>Abandoned card foreign exchange</t>
  </si>
  <si>
    <t>abandoned-cart.fundo-imobiliario</t>
  </si>
  <si>
    <t>Abandoned cart for FII investment product</t>
  </si>
  <si>
    <t>Carrinho abandonado de investimentos em fundos imobiliários</t>
  </si>
  <si>
    <t>abandoned-cart.fundos-imobiliarios</t>
  </si>
  <si>
    <t>Abandoned cart for FII´S investment product</t>
  </si>
  <si>
    <t>abandoned-cart.home_guarantee_credit</t>
  </si>
  <si>
    <t>Abandoned card home guarantee credit</t>
  </si>
  <si>
    <t>Carrinho abandonado de CP Use Casa</t>
  </si>
  <si>
    <t>Abandoned card installment plan</t>
  </si>
  <si>
    <t>Carrinho abandonado de parcelamento de fatura</t>
  </si>
  <si>
    <t>Abandoned card investment api</t>
  </si>
  <si>
    <t>Carrinho abandonado de cadastro do perfil de investimentos</t>
  </si>
  <si>
    <t>abandoned-cart.lca</t>
  </si>
  <si>
    <t>Abandoned cart LCA product</t>
  </si>
  <si>
    <t>Carrinho abandonado de investimentos LCA</t>
  </si>
  <si>
    <t>abandoned-cart.lci</t>
  </si>
  <si>
    <t>Abandoned cart LCI investment product</t>
  </si>
  <si>
    <t>Carrinho abandonado de investimentos LCI</t>
  </si>
  <si>
    <t>abandoned-cart.NOVO</t>
  </si>
  <si>
    <t>Abandoned card personal business loan</t>
  </si>
  <si>
    <t>Carrinho abandonado de consignado</t>
  </si>
  <si>
    <t>Abandoned card open finance</t>
  </si>
  <si>
    <t>Carrinho abandonado de open finance</t>
  </si>
  <si>
    <t>abandoned-cart.parcelar-compras</t>
  </si>
  <si>
    <t xml:space="preserve">abandoned-cart.parcelar-compras </t>
  </si>
  <si>
    <t>abandoned-cart.portabilidade</t>
  </si>
  <si>
    <t xml:space="preserve">abandoned-cart.portabilidade </t>
  </si>
  <si>
    <t>Comprovante de portabilidade de salário</t>
  </si>
  <si>
    <t>Abandoned card portability</t>
  </si>
  <si>
    <t>Carrinho abandonado de portabilidade de salário</t>
  </si>
  <si>
    <t>abandoned-cart.poupanca</t>
  </si>
  <si>
    <t>Abandoned cart savings investment product</t>
  </si>
  <si>
    <t>Carrinho abandonado de poupança</t>
  </si>
  <si>
    <t>abandoned-cart.previdencia</t>
  </si>
  <si>
    <t>Abandoned cart previdencia investment product</t>
  </si>
  <si>
    <t>Carrinho abandonado de investimentos previdência</t>
  </si>
  <si>
    <t>abandoned-cart.REFIN</t>
  </si>
  <si>
    <t>Abandoned cart financial reorganization personal credit refinancial</t>
  </si>
  <si>
    <t>Carrinho abandonado de CP Preventivo (Refin)</t>
  </si>
  <si>
    <t>abandoned-cart.REORG</t>
  </si>
  <si>
    <t>Abandoned cart financial reorganization</t>
  </si>
  <si>
    <t>Carrinho abandonado de CP Preventivo (Reorg)</t>
  </si>
  <si>
    <t>abandoned-cart.tesouro-direto</t>
  </si>
  <si>
    <t>Abandoned cart tesouro direto investment product</t>
  </si>
  <si>
    <t>Carrinho abandonado de investimento tesouro direto</t>
  </si>
  <si>
    <t>abandoned-cart.TRANSACOES</t>
  </si>
  <si>
    <t>Abandoned Cart Transacoes</t>
  </si>
  <si>
    <t>Carrinho abandonado de seguro transações</t>
  </si>
  <si>
    <t>abandoned-cart.VIDA</t>
  </si>
  <si>
    <t>Abandoned cart personal security</t>
  </si>
  <si>
    <t>Carrinho abandonado de seguro de vida</t>
  </si>
  <si>
    <t>comp-event.acoes</t>
  </si>
  <si>
    <t>Proof Event acoes investment product</t>
  </si>
  <si>
    <t>Comprovante de investimentos em ações</t>
  </si>
  <si>
    <t>comp-event.AP</t>
  </si>
  <si>
    <t>Proof Event personal accident insurance</t>
  </si>
  <si>
    <t>Comprovante de contratação de seguro de acidentes pessoais</t>
  </si>
  <si>
    <t>comp-event.assistencias-helps</t>
  </si>
  <si>
    <t xml:space="preserve">comp-event.assistencias-helps </t>
  </si>
  <si>
    <t>Comprovante de contratação de Helps</t>
  </si>
  <si>
    <t>comp-event.CASA</t>
  </si>
  <si>
    <t>Proof Event  personal house insurance</t>
  </si>
  <si>
    <t>Comprovante de contratação de seguro residencial</t>
  </si>
  <si>
    <t>comp-event.cdb</t>
  </si>
  <si>
    <t>Proof Event CDB investment product</t>
  </si>
  <si>
    <t>Comprovante de investimentos em CDB</t>
  </si>
  <si>
    <t>comp-event.combo-santander</t>
  </si>
  <si>
    <t xml:space="preserve">comp-event.combo-santander </t>
  </si>
  <si>
    <t>Comprovante de contratação de Combos</t>
  </si>
  <si>
    <t>comp-event.comex</t>
  </si>
  <si>
    <t xml:space="preserve">comp-event.comex </t>
  </si>
  <si>
    <t>Comprovante de contratação de câmbio</t>
  </si>
  <si>
    <t>comp-event.CP</t>
  </si>
  <si>
    <t>Proof Event  personal loan</t>
  </si>
  <si>
    <t>Comprovante de contratação de CP Puro</t>
  </si>
  <si>
    <t>comp-event.cpi</t>
  </si>
  <si>
    <t>Proof Event Personal credit with investment as collateral</t>
  </si>
  <si>
    <t>Comprovante de contratação de CP Investidor</t>
  </si>
  <si>
    <t>comp-event.cpua</t>
  </si>
  <si>
    <t>Proof of contracting for the unified personal credit product</t>
  </si>
  <si>
    <t>Comprovante de contratação de CP Unificado</t>
  </si>
  <si>
    <t>comp-event.debito-automatico</t>
  </si>
  <si>
    <t>Comprovante de contratação de DAC</t>
  </si>
  <si>
    <t>comp-event.etf</t>
  </si>
  <si>
    <t>Proof Event ETF investment product</t>
  </si>
  <si>
    <t>Comprovante de investimentos em ETF</t>
  </si>
  <si>
    <t>comp-event.FGTS</t>
  </si>
  <si>
    <t>Personal credit guaranteed by a labor guarantee fund</t>
  </si>
  <si>
    <t>Comprovante de contratação de CP FGTS</t>
  </si>
  <si>
    <t>comp-event.lca</t>
  </si>
  <si>
    <t>Proof Event LCA investment product</t>
  </si>
  <si>
    <t>Comprovante de investimentos em LCA</t>
  </si>
  <si>
    <t>comp-event.lci</t>
  </si>
  <si>
    <t>Proof Event LCI investment product</t>
  </si>
  <si>
    <t>Comprovante de investimentos em LCI</t>
  </si>
  <si>
    <t>comp-event.NOVO</t>
  </si>
  <si>
    <t>Proof Event  personal business loan</t>
  </si>
  <si>
    <t>Comprovante de contratação de consignado</t>
  </si>
  <si>
    <t>comp-event.parcelar-compras</t>
  </si>
  <si>
    <t xml:space="preserve">comp-event.parcelar-compras </t>
  </si>
  <si>
    <t>Comprovante de parcelamento de fatura</t>
  </si>
  <si>
    <t>comp-event.portabilidade</t>
  </si>
  <si>
    <t xml:space="preserve">comp-event.portabilidade </t>
  </si>
  <si>
    <t>comp-event.poupanca</t>
  </si>
  <si>
    <t>Proof Event savings investment product</t>
  </si>
  <si>
    <t>Comprovante de investimentos em poupança</t>
  </si>
  <si>
    <t>comp-event.previdencia</t>
  </si>
  <si>
    <t>Proof Event previdencia investment product</t>
  </si>
  <si>
    <t>Comprovante de investimentos em previdência</t>
  </si>
  <si>
    <t>comp-event.REFIN</t>
  </si>
  <si>
    <t>Proof Event financial reorganization personal credit refinancial</t>
  </si>
  <si>
    <t>Comprovante de contratação de CP Preventivo (Refin)</t>
  </si>
  <si>
    <t>comp-event.REORG</t>
  </si>
  <si>
    <t>Proof Event financial reorganization</t>
  </si>
  <si>
    <t>Comprovante de contratação de CP Preventivo (Reorg)</t>
  </si>
  <si>
    <t>comp-event.tesouro-direto</t>
  </si>
  <si>
    <t>Proof Event tesouro direto investment product</t>
  </si>
  <si>
    <t>Comprovante de investimentos em tesouro direto</t>
  </si>
  <si>
    <t>comp-event.TRANSACOES</t>
  </si>
  <si>
    <t xml:space="preserve">Proof Event Transacoes </t>
  </si>
  <si>
    <t>Comprovante de contratação de seguro transações</t>
  </si>
  <si>
    <t>comp-event.VIDA</t>
  </si>
  <si>
    <t>Proof Event life insurance</t>
  </si>
  <si>
    <t>Comprovante de contratação de seguro de vida</t>
  </si>
  <si>
    <t>comp-events.cartoes</t>
  </si>
  <si>
    <t>Proof Event Card</t>
  </si>
  <si>
    <t>Comprovante de contratação de cartões</t>
  </si>
  <si>
    <t>_santanderamerica.omniChannel_application.page_url</t>
  </si>
  <si>
    <t>page_url</t>
  </si>
  <si>
    <t>Page URL</t>
  </si>
  <si>
    <t>URL de abandono da jornada</t>
  </si>
  <si>
    <t>comp-event.fundo-imobiliario</t>
  </si>
  <si>
    <t>Proof of contracting for the FII investment product</t>
  </si>
  <si>
    <t>Comprovante de investimentos em fundos imobiliários</t>
  </si>
  <si>
    <t>comp-event.fundo-imobiliarios</t>
  </si>
  <si>
    <t>Proof of ccomp-event.fontracting for the FII´s investment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</si>
</sst>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ptos Narrow"/>
      <family val="2"/>
      <scheme val="minor"/>
    </font>
    <font>
      <b/>
      <sz val="14"/>
      <color theme="1"/>
      <name val="Aptos Narrow"/>
      <family val="2"/>
      <scheme val="minor"/>
    </font>
    <font>
      <b/>
      <sz val="12"/>
      <color theme="1"/>
      <name val="Aptos Narrow"/>
      <family val="2"/>
      <scheme val="minor"/>
    </font>
    <font>
      <sz val="11"/>
      <color rgb="FF000000"/>
      <name val="Calibri"/>
      <family val="2"/>
    </font>
    <font>
      <sz val="11"/>
      <name val="Calibri"/>
      <family val="2"/>
    </font>
    <font>
      <b/>
      <sz val="8"/>
      <color theme="1"/>
      <name val="Aptos Narrow"/>
      <family val="2"/>
      <scheme val="minor"/>
    </font>
    <font>
      <sz val="8"/>
      <color theme="1"/>
      <name val="Aptos Narrow"/>
      <family val="2"/>
      <scheme val="minor"/>
    </font>
    <font>
      <sz val="11"/>
      <color rgb="FF000000"/>
      <name val="Aptos Narrow"/>
      <family val="2"/>
      <scheme val="minor"/>
    </font>
    <font>
      <strike/>
      <sz val="11"/>
      <color theme="1"/>
      <name val="Aptos Narrow"/>
      <family val="2"/>
      <scheme val="minor"/>
    </font>
    <font>
      <sz val="11"/>
      <color theme="1"/>
      <name val="Aptos Narrow"/>
      <family val="2"/>
      <scheme val="minor"/>
    </font>
    <font>
      <u/>
      <sz val="11"/>
      <color theme="10"/>
      <name val="Aptos Narrow"/>
      <family val="2"/>
      <scheme val="minor"/>
    </font>
    <font>
      <sz val="10"/>
      <color rgb="FF000000"/>
      <name val="Aptos Narrow"/>
      <family val="2"/>
      <scheme val="minor"/>
    </font>
    <font>
      <strike/>
      <u/>
      <sz val="11"/>
      <color theme="1"/>
      <name val="Aptos Narrow"/>
      <family val="2"/>
      <scheme val="minor"/>
    </font>
    <font>
      <strike/>
      <sz val="11"/>
      <color rgb="FF000000"/>
      <name val="Aptos Narrow"/>
      <family val="2"/>
      <scheme val="minor"/>
    </font>
    <font>
      <sz val="11"/>
      <color rgb="FF242424"/>
      <name val="Aptos Narrow"/>
      <family val="2"/>
    </font>
    <font>
      <b/>
      <sz val="11"/>
      <color theme="1"/>
      <name val="Aptos Narrow"/>
      <family val="2"/>
      <scheme val="minor"/>
    </font>
    <font>
      <b/>
      <sz val="11"/>
      <color theme="1"/>
      <name val="Calibri"/>
      <family val="2"/>
    </font>
    <font>
      <sz val="11"/>
      <color theme="1"/>
      <name val="Calibri"/>
      <family val="2"/>
    </font>
    <font>
      <sz val="11"/>
      <color theme="1"/>
      <name val="Aptos Display"/>
      <family val="2"/>
      <scheme val="major"/>
    </font>
    <font>
      <sz val="11"/>
      <color theme="1"/>
      <name val="Aptos Display"/>
      <scheme val="major"/>
    </font>
  </fonts>
  <fills count="9">
    <fill>
      <patternFill patternType="none"/>
    </fill>
    <fill>
      <patternFill patternType="gray125"/>
    </fill>
    <fill>
      <patternFill patternType="solid">
        <fgColor theme="2" tint="-0.249977111117893"/>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indexed="64"/>
      </left>
      <right/>
      <top style="thin">
        <color indexed="64"/>
      </top>
      <bottom/>
      <diagonal/>
    </border>
    <border>
      <left style="thin">
        <color indexed="64"/>
      </left>
      <right/>
      <top/>
      <bottom/>
      <diagonal/>
    </border>
  </borders>
  <cellStyleXfs count="200">
    <xf numFmtId="0" fontId="0"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1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10" fillId="0" borderId="0" applyNumberForma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cellStyleXfs>
  <cellXfs count="144">
    <xf numFmtId="0" fontId="0" fillId="0" borderId="0" xfId="0"/>
    <xf numFmtId="0" fontId="2" fillId="4" borderId="1" xfId="0" applyFont="1" applyFill="1" applyBorder="1" applyAlignment="1">
      <alignment vertical="center"/>
    </xf>
    <xf numFmtId="0" fontId="2" fillId="4" borderId="1" xfId="0" applyFont="1" applyFill="1" applyBorder="1" applyAlignment="1">
      <alignment vertical="center" wrapText="1"/>
    </xf>
    <xf numFmtId="0" fontId="0" fillId="0" borderId="1" xfId="0" applyBorder="1"/>
    <xf numFmtId="0" fontId="0" fillId="0" borderId="1" xfId="0" applyBorder="1" applyAlignment="1">
      <alignment vertical="center"/>
    </xf>
    <xf numFmtId="14" fontId="0" fillId="0" borderId="1" xfId="0" applyNumberFormat="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2" xfId="0" applyBorder="1" applyAlignment="1">
      <alignment vertical="center"/>
    </xf>
    <xf numFmtId="0" fontId="0" fillId="0" borderId="2" xfId="0" applyBorder="1" applyAlignment="1">
      <alignment vertical="center" wrapText="1"/>
    </xf>
    <xf numFmtId="0" fontId="0" fillId="0" borderId="2" xfId="0" applyBorder="1" applyAlignment="1">
      <alignment horizontal="center" vertical="center"/>
    </xf>
    <xf numFmtId="0" fontId="0" fillId="0" borderId="1" xfId="0" applyBorder="1" applyAlignment="1">
      <alignment horizontal="left" vertical="center"/>
    </xf>
    <xf numFmtId="0" fontId="5" fillId="4" borderId="1" xfId="0" applyFont="1" applyFill="1" applyBorder="1" applyAlignment="1">
      <alignment horizontal="left" vertical="center"/>
    </xf>
    <xf numFmtId="0" fontId="6" fillId="0" borderId="0" xfId="0" applyFont="1" applyAlignment="1">
      <alignment horizontal="left"/>
    </xf>
    <xf numFmtId="0" fontId="0" fillId="0" borderId="0" xfId="0" applyAlignment="1">
      <alignment horizontal="left"/>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3" xfId="0" applyFont="1" applyBorder="1" applyAlignment="1">
      <alignment horizontal="left" vertical="center"/>
    </xf>
    <xf numFmtId="0" fontId="5" fillId="4" borderId="2" xfId="0" applyFont="1" applyFill="1" applyBorder="1" applyAlignment="1">
      <alignment horizontal="left" vertical="center"/>
    </xf>
    <xf numFmtId="0" fontId="6" fillId="0" borderId="1" xfId="0" applyFont="1" applyBorder="1" applyAlignment="1">
      <alignment horizontal="left" vertical="center"/>
    </xf>
    <xf numFmtId="0" fontId="7" fillId="0" borderId="1" xfId="0" applyFont="1" applyBorder="1" applyAlignment="1">
      <alignment vertical="center"/>
    </xf>
    <xf numFmtId="0" fontId="2" fillId="4" borderId="1" xfId="0" applyFont="1" applyFill="1" applyBorder="1" applyAlignment="1">
      <alignment horizontal="left" vertical="center"/>
    </xf>
    <xf numFmtId="0" fontId="0" fillId="0" borderId="2" xfId="0" applyBorder="1" applyAlignment="1">
      <alignment horizontal="left" vertical="center"/>
    </xf>
    <xf numFmtId="0" fontId="7" fillId="0" borderId="1" xfId="0" applyFont="1" applyBorder="1" applyAlignment="1">
      <alignment horizontal="left" vertical="center"/>
    </xf>
    <xf numFmtId="0" fontId="0" fillId="0" borderId="1" xfId="0"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right" vertical="center"/>
    </xf>
    <xf numFmtId="0" fontId="0" fillId="0" borderId="1" xfId="0" quotePrefix="1" applyBorder="1" applyAlignment="1">
      <alignment horizontal="left" vertical="center" wrapText="1"/>
    </xf>
    <xf numFmtId="0" fontId="0" fillId="6" borderId="0" xfId="0" applyFill="1"/>
    <xf numFmtId="0" fontId="3" fillId="0" borderId="1" xfId="0" applyFont="1" applyBorder="1" applyAlignment="1">
      <alignment horizontal="left" vertical="center"/>
    </xf>
    <xf numFmtId="0" fontId="0" fillId="0" borderId="1" xfId="0" applyBorder="1" applyAlignment="1">
      <alignment horizontal="right" vertical="center" wrapText="1"/>
    </xf>
    <xf numFmtId="0" fontId="0" fillId="0" borderId="0" xfId="0" applyAlignment="1">
      <alignment vertical="center" wrapText="1"/>
    </xf>
    <xf numFmtId="0" fontId="0" fillId="0" borderId="2" xfId="0"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right" vertical="center"/>
    </xf>
    <xf numFmtId="0" fontId="8" fillId="0" borderId="1" xfId="0" applyFont="1" applyBorder="1" applyAlignment="1">
      <alignment horizontal="right" vertical="center" wrapText="1"/>
    </xf>
    <xf numFmtId="0" fontId="8" fillId="0" borderId="1" xfId="0" applyFont="1" applyBorder="1" applyAlignment="1">
      <alignment horizontal="left" vertical="center" wrapText="1"/>
    </xf>
    <xf numFmtId="0" fontId="7" fillId="0" borderId="1" xfId="0" applyFont="1" applyBorder="1" applyAlignment="1">
      <alignment horizontal="left" vertical="center" wrapText="1"/>
    </xf>
    <xf numFmtId="0" fontId="4" fillId="0" borderId="1" xfId="0" applyFont="1" applyBorder="1" applyAlignment="1">
      <alignment horizontal="left" vertical="center"/>
    </xf>
    <xf numFmtId="0" fontId="0" fillId="0" borderId="1" xfId="0" applyBorder="1" applyAlignment="1">
      <alignment horizontal="center" wrapText="1"/>
    </xf>
    <xf numFmtId="0" fontId="0" fillId="0" borderId="0" xfId="0" applyAlignment="1">
      <alignment horizontal="right" vertical="center"/>
    </xf>
    <xf numFmtId="0" fontId="2" fillId="4" borderId="1" xfId="0" applyFont="1" applyFill="1" applyBorder="1" applyAlignment="1">
      <alignment horizontal="left" vertical="center" wrapText="1"/>
    </xf>
    <xf numFmtId="0" fontId="0" fillId="0" borderId="0" xfId="0" applyAlignment="1">
      <alignment horizontal="left" vertical="center" wrapText="1"/>
    </xf>
    <xf numFmtId="0" fontId="2" fillId="5" borderId="1" xfId="0" applyFont="1" applyFill="1" applyBorder="1" applyAlignment="1">
      <alignment horizontal="left" vertical="center"/>
    </xf>
    <xf numFmtId="0" fontId="2" fillId="5" borderId="1" xfId="0" applyFont="1" applyFill="1" applyBorder="1" applyAlignment="1">
      <alignment horizontal="center" vertical="center" wrapText="1"/>
    </xf>
    <xf numFmtId="0" fontId="0" fillId="0" borderId="0" xfId="0" applyAlignment="1">
      <alignment horizontal="center" vertical="center" wrapText="1"/>
    </xf>
    <xf numFmtId="0" fontId="3" fillId="0" borderId="1" xfId="0" applyFont="1" applyBorder="1" applyAlignment="1">
      <alignment horizontal="center" vertical="center" wrapText="1"/>
    </xf>
    <xf numFmtId="0" fontId="7" fillId="0" borderId="1" xfId="0" applyFont="1" applyBorder="1" applyAlignment="1">
      <alignment horizontal="center"/>
    </xf>
    <xf numFmtId="0" fontId="7" fillId="0" borderId="1" xfId="0" applyFont="1" applyBorder="1" applyAlignment="1">
      <alignment horizontal="center" vertical="center"/>
    </xf>
    <xf numFmtId="0" fontId="7" fillId="0" borderId="1" xfId="0" applyFont="1" applyBorder="1" applyAlignment="1">
      <alignment vertical="center" wrapText="1"/>
    </xf>
    <xf numFmtId="0" fontId="8" fillId="0" borderId="1" xfId="0" applyFont="1" applyBorder="1" applyAlignment="1">
      <alignment horizontal="right" vertical="center"/>
    </xf>
    <xf numFmtId="0" fontId="0" fillId="0" borderId="6" xfId="0" applyBorder="1" applyAlignment="1">
      <alignment vertical="center"/>
    </xf>
    <xf numFmtId="0" fontId="0" fillId="0" borderId="7" xfId="0" applyBorder="1" applyAlignment="1">
      <alignment horizontal="right" vertical="center"/>
    </xf>
    <xf numFmtId="0" fontId="0" fillId="0" borderId="10" xfId="0" applyBorder="1" applyAlignment="1">
      <alignment horizontal="right" vertical="center"/>
    </xf>
    <xf numFmtId="0" fontId="16" fillId="4" borderId="1" xfId="0" applyFont="1" applyFill="1" applyBorder="1" applyAlignment="1">
      <alignment horizontal="center" vertical="center"/>
    </xf>
    <xf numFmtId="14" fontId="16" fillId="4" borderId="1" xfId="0" applyNumberFormat="1" applyFont="1" applyFill="1" applyBorder="1" applyAlignment="1">
      <alignment horizontal="center" vertical="center"/>
    </xf>
    <xf numFmtId="0" fontId="17" fillId="0" borderId="0" xfId="0" applyFont="1"/>
    <xf numFmtId="0" fontId="18" fillId="0" borderId="1" xfId="0" applyFont="1" applyBorder="1" applyAlignment="1">
      <alignment horizontal="center"/>
    </xf>
    <xf numFmtId="1" fontId="0" fillId="0" borderId="1" xfId="0" applyNumberFormat="1" applyBorder="1" applyAlignment="1">
      <alignment horizontal="center"/>
    </xf>
    <xf numFmtId="0" fontId="18" fillId="0" borderId="1" xfId="0" applyFont="1" applyBorder="1" applyAlignment="1">
      <alignment horizontal="left"/>
    </xf>
    <xf numFmtId="0" fontId="18" fillId="0" borderId="1" xfId="0" applyFont="1" applyBorder="1" applyAlignment="1" applyProtection="1">
      <alignment horizontal="center"/>
      <protection locked="0"/>
    </xf>
    <xf numFmtId="14" fontId="18" fillId="0" borderId="1" xfId="0" applyNumberFormat="1" applyFont="1" applyBorder="1" applyAlignment="1" applyProtection="1">
      <alignment horizontal="center"/>
      <protection locked="0"/>
    </xf>
    <xf numFmtId="14" fontId="0" fillId="0" borderId="1" xfId="0" applyNumberFormat="1" applyBorder="1" applyAlignment="1">
      <alignment horizontal="center"/>
    </xf>
    <xf numFmtId="14" fontId="0" fillId="0" borderId="1" xfId="0" applyNumberFormat="1" applyBorder="1"/>
    <xf numFmtId="14" fontId="18" fillId="7" borderId="1" xfId="0" applyNumberFormat="1" applyFont="1" applyFill="1" applyBorder="1" applyAlignment="1" applyProtection="1">
      <alignment horizontal="center"/>
      <protection locked="0"/>
    </xf>
    <xf numFmtId="14" fontId="18" fillId="6" borderId="1" xfId="0" applyNumberFormat="1" applyFont="1" applyFill="1" applyBorder="1" applyAlignment="1" applyProtection="1">
      <alignment horizontal="center"/>
      <protection locked="0"/>
    </xf>
    <xf numFmtId="1" fontId="18" fillId="0" borderId="1" xfId="0" applyNumberFormat="1" applyFont="1" applyBorder="1" applyAlignment="1">
      <alignment horizontal="center"/>
    </xf>
    <xf numFmtId="1" fontId="0" fillId="6" borderId="1" xfId="0" applyNumberFormat="1" applyFill="1" applyBorder="1" applyAlignment="1">
      <alignment horizontal="center"/>
    </xf>
    <xf numFmtId="14" fontId="18" fillId="0" borderId="2" xfId="0" applyNumberFormat="1" applyFont="1" applyBorder="1" applyAlignment="1" applyProtection="1">
      <alignment horizontal="center"/>
      <protection locked="0"/>
    </xf>
    <xf numFmtId="0" fontId="18" fillId="0" borderId="2" xfId="0" applyFont="1" applyBorder="1" applyAlignment="1">
      <alignment horizontal="center"/>
    </xf>
    <xf numFmtId="1" fontId="18" fillId="0" borderId="2" xfId="0" applyNumberFormat="1" applyFont="1" applyBorder="1" applyAlignment="1">
      <alignment horizontal="center"/>
    </xf>
    <xf numFmtId="0" fontId="18" fillId="0" borderId="2" xfId="0" applyFont="1" applyBorder="1" applyAlignment="1">
      <alignment horizontal="left"/>
    </xf>
    <xf numFmtId="0" fontId="18" fillId="0" borderId="2" xfId="0" applyFont="1" applyBorder="1" applyAlignment="1" applyProtection="1">
      <alignment horizontal="center"/>
      <protection locked="0"/>
    </xf>
    <xf numFmtId="1" fontId="0" fillId="0" borderId="2" xfId="0" applyNumberFormat="1" applyBorder="1" applyAlignment="1">
      <alignment horizontal="center"/>
    </xf>
    <xf numFmtId="1" fontId="18" fillId="6" borderId="2" xfId="0" applyNumberFormat="1" applyFont="1" applyFill="1" applyBorder="1" applyAlignment="1">
      <alignment horizontal="center"/>
    </xf>
    <xf numFmtId="0" fontId="19" fillId="0" borderId="1" xfId="0" applyFont="1" applyBorder="1" applyAlignment="1" applyProtection="1">
      <alignment horizontal="center"/>
      <protection locked="0"/>
    </xf>
    <xf numFmtId="14" fontId="19" fillId="0" borderId="1" xfId="0" applyNumberFormat="1" applyFont="1" applyBorder="1" applyAlignment="1" applyProtection="1">
      <alignment horizontal="center"/>
      <protection locked="0"/>
    </xf>
    <xf numFmtId="14" fontId="19" fillId="0" borderId="2" xfId="0" applyNumberFormat="1" applyFont="1" applyBorder="1" applyAlignment="1" applyProtection="1">
      <alignment horizontal="center"/>
      <protection locked="0"/>
    </xf>
    <xf numFmtId="14" fontId="0" fillId="0" borderId="0" xfId="0" applyNumberFormat="1"/>
    <xf numFmtId="0" fontId="15" fillId="8" borderId="1" xfId="0" applyFont="1" applyFill="1" applyBorder="1"/>
    <xf numFmtId="0" fontId="0" fillId="0" borderId="6" xfId="0" applyBorder="1" applyAlignment="1">
      <alignment horizontal="left" vertical="center" wrapText="1"/>
    </xf>
    <xf numFmtId="0" fontId="0" fillId="0" borderId="6" xfId="0" applyBorder="1" applyAlignment="1">
      <alignment horizontal="center" vertical="center" wrapText="1"/>
    </xf>
    <xf numFmtId="0" fontId="0" fillId="0" borderId="6" xfId="0" applyBorder="1" applyAlignment="1">
      <alignment horizontal="left" vertical="center"/>
    </xf>
    <xf numFmtId="0" fontId="0" fillId="0" borderId="6" xfId="0" applyBorder="1" applyAlignment="1">
      <alignment horizontal="center" vertical="center"/>
    </xf>
    <xf numFmtId="0" fontId="0" fillId="0" borderId="6" xfId="0" applyBorder="1" applyAlignment="1">
      <alignment vertical="center" wrapText="1"/>
    </xf>
    <xf numFmtId="0" fontId="0" fillId="0" borderId="6" xfId="0" quotePrefix="1" applyBorder="1" applyAlignment="1">
      <alignment horizontal="left" vertical="center" wrapText="1"/>
    </xf>
    <xf numFmtId="0" fontId="0" fillId="0" borderId="1" xfId="0" applyBorder="1" applyAlignment="1">
      <alignment horizontal="right"/>
    </xf>
    <xf numFmtId="0" fontId="0" fillId="0" borderId="1" xfId="0" applyBorder="1" applyAlignment="1">
      <alignment horizontal="center"/>
    </xf>
    <xf numFmtId="0" fontId="0" fillId="0" borderId="1" xfId="0" applyBorder="1" applyAlignment="1">
      <alignment horizontal="left"/>
    </xf>
    <xf numFmtId="0" fontId="0" fillId="0" borderId="1" xfId="0" applyBorder="1" applyAlignment="1">
      <alignment wrapText="1"/>
    </xf>
    <xf numFmtId="0" fontId="0" fillId="0" borderId="1" xfId="0" applyBorder="1" applyAlignment="1">
      <alignment horizontal="left" wrapText="1"/>
    </xf>
    <xf numFmtId="0" fontId="0" fillId="0" borderId="7" xfId="0" applyBorder="1" applyAlignment="1">
      <alignment horizontal="center" vertical="center" wrapText="1"/>
    </xf>
    <xf numFmtId="0" fontId="0" fillId="0" borderId="7" xfId="0" applyBorder="1" applyAlignment="1">
      <alignment horizontal="left" vertical="center"/>
    </xf>
    <xf numFmtId="0" fontId="0" fillId="0" borderId="7" xfId="0" applyBorder="1" applyAlignment="1">
      <alignment horizontal="left" vertical="center" wrapText="1"/>
    </xf>
    <xf numFmtId="0" fontId="0" fillId="0" borderId="10" xfId="0" applyBorder="1" applyAlignment="1">
      <alignment horizontal="left" vertical="center" wrapText="1"/>
    </xf>
    <xf numFmtId="0" fontId="0" fillId="0" borderId="10" xfId="0" applyBorder="1" applyAlignment="1">
      <alignment horizontal="center" vertical="center" wrapText="1"/>
    </xf>
    <xf numFmtId="0" fontId="0" fillId="0" borderId="10" xfId="0" applyBorder="1" applyAlignment="1">
      <alignment horizontal="left" vertical="center"/>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7" xfId="0" applyBorder="1" applyAlignment="1">
      <alignment vertical="center" wrapText="1"/>
    </xf>
    <xf numFmtId="0" fontId="0" fillId="0" borderId="10" xfId="0" applyBorder="1" applyAlignment="1">
      <alignment horizontal="center" vertical="center"/>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5" xfId="0" applyBorder="1" applyAlignment="1">
      <alignment vertical="center"/>
    </xf>
    <xf numFmtId="0" fontId="0" fillId="0" borderId="6" xfId="0" applyBorder="1" applyAlignment="1">
      <alignment vertical="center"/>
    </xf>
    <xf numFmtId="0" fontId="0" fillId="0" borderId="5" xfId="0" applyBorder="1" applyAlignment="1">
      <alignment vertical="center" wrapText="1"/>
    </xf>
    <xf numFmtId="0" fontId="0" fillId="0" borderId="6" xfId="0" applyBorder="1" applyAlignment="1">
      <alignmen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wrapText="1"/>
    </xf>
    <xf numFmtId="0" fontId="0" fillId="0" borderId="2" xfId="0" applyBorder="1" applyAlignment="1">
      <alignment horizontal="left" vertical="center"/>
    </xf>
    <xf numFmtId="0" fontId="0" fillId="0" borderId="2"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wrapText="1"/>
    </xf>
    <xf numFmtId="0" fontId="1" fillId="3" borderId="0" xfId="0" applyFont="1" applyFill="1" applyAlignment="1">
      <alignment horizontal="center" vertical="center"/>
    </xf>
    <xf numFmtId="0" fontId="1" fillId="2" borderId="0" xfId="0" applyFont="1" applyFill="1" applyAlignment="1">
      <alignment horizontal="center" vertical="center"/>
    </xf>
    <xf numFmtId="0" fontId="1" fillId="2" borderId="4" xfId="0" applyFont="1" applyFill="1" applyBorder="1" applyAlignment="1">
      <alignment horizontal="center" vertical="center"/>
    </xf>
    <xf numFmtId="0" fontId="0" fillId="0" borderId="2" xfId="0" applyBorder="1" applyAlignment="1">
      <alignment vertical="center"/>
    </xf>
    <xf numFmtId="0" fontId="0" fillId="0" borderId="2" xfId="0" applyBorder="1" applyAlignment="1">
      <alignment vertical="center" wrapText="1"/>
    </xf>
    <xf numFmtId="0" fontId="14" fillId="0" borderId="7" xfId="0" applyFont="1" applyBorder="1" applyAlignment="1">
      <alignment horizontal="left" vertical="center"/>
    </xf>
    <xf numFmtId="0" fontId="0" fillId="0" borderId="1" xfId="0" applyBorder="1" applyAlignment="1">
      <alignment horizontal="left" vertical="center" wrapText="1"/>
    </xf>
    <xf numFmtId="0" fontId="7" fillId="0" borderId="1" xfId="0" applyFon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3" xfId="0" applyBorder="1" applyAlignment="1">
      <alignment horizontal="left" vertical="center"/>
    </xf>
    <xf numFmtId="0" fontId="0" fillId="0" borderId="1" xfId="0" applyBorder="1" applyAlignment="1">
      <alignment vertical="center" wrapText="1"/>
    </xf>
    <xf numFmtId="0" fontId="0" fillId="0" borderId="3" xfId="0" applyBorder="1" applyAlignment="1">
      <alignment vertical="center" wrapText="1"/>
    </xf>
    <xf numFmtId="0" fontId="0" fillId="0" borderId="15" xfId="0" applyBorder="1" applyAlignment="1">
      <alignment vertical="center" wrapText="1"/>
    </xf>
    <xf numFmtId="0" fontId="7" fillId="0" borderId="1" xfId="0" applyFont="1" applyBorder="1" applyAlignment="1">
      <alignment horizontal="center" vertical="center" wrapText="1"/>
    </xf>
  </cellXfs>
  <cellStyles count="200">
    <cellStyle name="Comma 2" xfId="1" xr:uid="{8DE281CF-912B-4185-879D-D4BFA83CB78E}"/>
    <cellStyle name="Comma 2 10" xfId="53" xr:uid="{F652CE88-AEDF-4A72-8106-8847F5CAA79A}"/>
    <cellStyle name="Comma 2 10 2" xfId="102" xr:uid="{3E82C622-A024-4BEE-9A80-54E5384DDBCB}"/>
    <cellStyle name="Comma 2 11" xfId="103" xr:uid="{656073B7-092B-4A49-AC0B-5378447F277C}"/>
    <cellStyle name="Comma 2 2" xfId="2" xr:uid="{BB7B209C-EC2C-4C32-B10C-8D0E162C239B}"/>
    <cellStyle name="Comma 2 2 2" xfId="5" xr:uid="{9225CB80-4087-4F51-9CC0-7AA907FBAE01}"/>
    <cellStyle name="Comma 2 2 2 2" xfId="19" xr:uid="{CF8D08E1-DC5F-49B9-8F8F-D39FBBFE8CF2}"/>
    <cellStyle name="Comma 2 2 2 2 2" xfId="35" xr:uid="{5E8BA800-32F5-402F-B9A0-8D7D265AC410}"/>
    <cellStyle name="Comma 2 2 2 2 2 2" xfId="84" xr:uid="{31266AC7-4CD5-49C3-A6FD-6B9F58C34DF4}"/>
    <cellStyle name="Comma 2 2 2 2 2 2 2" xfId="104" xr:uid="{01CF028E-03CF-4290-B173-EB986F3C3A3C}"/>
    <cellStyle name="Comma 2 2 2 2 2 3" xfId="105" xr:uid="{34E338D4-9A7D-4712-9410-6DBF911DF13E}"/>
    <cellStyle name="Comma 2 2 2 2 3" xfId="32" xr:uid="{DC0ECAD6-B1A1-4E26-B8F6-BC332D77257E}"/>
    <cellStyle name="Comma 2 2 2 2 3 2" xfId="82" xr:uid="{63000CFB-F76C-4AB2-83E7-F9605BDC0455}"/>
    <cellStyle name="Comma 2 2 2 2 3 2 2" xfId="106" xr:uid="{E600F3D2-57B0-475B-9191-CF040F7DC3F8}"/>
    <cellStyle name="Comma 2 2 2 2 3 3" xfId="107" xr:uid="{BCCD0C46-D31D-4797-907B-F3876A9845CA}"/>
    <cellStyle name="Comma 2 2 2 2 4" xfId="69" xr:uid="{204C7FFF-3471-4BED-91C5-A04AEBABF2AB}"/>
    <cellStyle name="Comma 2 2 2 2 4 2" xfId="108" xr:uid="{97FBA2FE-2E34-4685-98D3-2841F4B0076B}"/>
    <cellStyle name="Comma 2 2 2 2 5" xfId="109" xr:uid="{A56DCC74-2906-4082-A03E-DA1B861CF3B7}"/>
    <cellStyle name="Comma 2 2 2 3" xfId="14" xr:uid="{642B36FC-0F82-4589-8B45-1BA12C67380C}"/>
    <cellStyle name="Comma 2 2 2 3 2" xfId="36" xr:uid="{A612947F-2457-43E2-8583-EC9F7C38864A}"/>
    <cellStyle name="Comma 2 2 2 3 2 2" xfId="85" xr:uid="{0CE351E2-4193-4B46-8A44-8FD1FD2BB592}"/>
    <cellStyle name="Comma 2 2 2 3 2 2 2" xfId="110" xr:uid="{2B10AD4F-E059-481D-8E36-81581D57697C}"/>
    <cellStyle name="Comma 2 2 2 3 2 3" xfId="111" xr:uid="{63087BCC-1C1C-4B8C-AB89-FCCD7E57C120}"/>
    <cellStyle name="Comma 2 2 2 3 3" xfId="64" xr:uid="{52DFDB45-BD6C-4649-ABAF-F237C311057D}"/>
    <cellStyle name="Comma 2 2 2 3 3 2" xfId="112" xr:uid="{F65C4282-2196-420B-BA9E-050CF1BB0C4C}"/>
    <cellStyle name="Comma 2 2 2 3 4" xfId="113" xr:uid="{21A54345-216A-49EF-B7FA-9C0F04C88F00}"/>
    <cellStyle name="Comma 2 2 2 4" xfId="37" xr:uid="{E7D15E3A-9049-4DB7-B07B-0EF440F561CB}"/>
    <cellStyle name="Comma 2 2 2 4 2" xfId="86" xr:uid="{AC7BA21A-BF3F-4925-AEAF-F0C3F72F060C}"/>
    <cellStyle name="Comma 2 2 2 4 2 2" xfId="114" xr:uid="{81488F25-525C-4AF1-A4FF-658899C3F096}"/>
    <cellStyle name="Comma 2 2 2 4 3" xfId="115" xr:uid="{A8ED91F8-B96E-4460-AE15-E5A19599440E}"/>
    <cellStyle name="Comma 2 2 2 5" xfId="27" xr:uid="{97FCC7F0-22D9-4BD7-BB29-0523959A32A7}"/>
    <cellStyle name="Comma 2 2 2 5 2" xfId="77" xr:uid="{2B47F0F3-F77F-4C8F-A56B-60E48EB7BD84}"/>
    <cellStyle name="Comma 2 2 2 5 2 2" xfId="116" xr:uid="{318F5C48-7370-4261-83F6-C2E4F651A19A}"/>
    <cellStyle name="Comma 2 2 2 5 3" xfId="117" xr:uid="{29B66E52-2A2F-4AA8-A94A-F98330543C30}"/>
    <cellStyle name="Comma 2 2 2 6" xfId="56" xr:uid="{FD025E94-C491-4DF9-A2D6-15D9900F18A2}"/>
    <cellStyle name="Comma 2 2 2 6 2" xfId="118" xr:uid="{026ED6A9-764A-4244-83E7-CD54C36D90FE}"/>
    <cellStyle name="Comma 2 2 2 7" xfId="119" xr:uid="{AE05B6FB-9B56-4D29-AF95-DDB1FCEA67AA}"/>
    <cellStyle name="Comma 2 2 3" xfId="12" xr:uid="{273E56BB-6FCC-4774-910A-39F3B2E08E78}"/>
    <cellStyle name="Comma 2 2 3 2" xfId="38" xr:uid="{C976EF85-33FA-4638-BB64-D6FB644C3B71}"/>
    <cellStyle name="Comma 2 2 3 2 2" xfId="87" xr:uid="{B2BD36E2-2BA8-4DF9-969B-9F5BFDFB2815}"/>
    <cellStyle name="Comma 2 2 3 2 2 2" xfId="120" xr:uid="{4E58E0AD-4518-40EF-A38D-75A3D3E5FB2C}"/>
    <cellStyle name="Comma 2 2 3 2 3" xfId="121" xr:uid="{FAF8D6C1-01CB-4BAC-B6D9-82EF8786E00F}"/>
    <cellStyle name="Comma 2 2 3 3" xfId="25" xr:uid="{C3B9E358-78B1-4572-8718-1C6B4D57A2EE}"/>
    <cellStyle name="Comma 2 2 3 3 2" xfId="75" xr:uid="{7522841D-1061-4EF0-9BE3-638CADFF1047}"/>
    <cellStyle name="Comma 2 2 3 3 2 2" xfId="122" xr:uid="{A2CCB512-1CA4-4AC4-A2A5-E7E41CB11B52}"/>
    <cellStyle name="Comma 2 2 3 3 3" xfId="123" xr:uid="{F5D0E6AE-06F8-4184-A81B-8E6B3BFBEBA1}"/>
    <cellStyle name="Comma 2 2 3 4" xfId="62" xr:uid="{EC332B15-B0D0-42EF-AEB0-74D9A235CBD6}"/>
    <cellStyle name="Comma 2 2 3 4 2" xfId="124" xr:uid="{4524ECE0-F746-4EE2-B1A3-5D2CF2529123}"/>
    <cellStyle name="Comma 2 2 3 5" xfId="125" xr:uid="{1741F5A6-6A53-4406-B3B5-9B8F72A0D2A7}"/>
    <cellStyle name="Comma 2 2 4" xfId="17" xr:uid="{64CAF838-C882-4FCD-AA4A-3A6F9B641FC8}"/>
    <cellStyle name="Comma 2 2 4 2" xfId="39" xr:uid="{69021990-6073-465E-A68C-522311FB0ACF}"/>
    <cellStyle name="Comma 2 2 4 2 2" xfId="88" xr:uid="{FCBEB60A-3A41-4564-A18B-B02793F66EB6}"/>
    <cellStyle name="Comma 2 2 4 2 2 2" xfId="126" xr:uid="{8F0880F0-5D12-4A4A-93DA-BFECBF2A431D}"/>
    <cellStyle name="Comma 2 2 4 2 3" xfId="127" xr:uid="{D1CAD471-310A-433E-8BE7-DECD0D3C2DEA}"/>
    <cellStyle name="Comma 2 2 4 3" xfId="30" xr:uid="{A2ED4678-0BE6-41CC-983C-779C10DDF707}"/>
    <cellStyle name="Comma 2 2 4 3 2" xfId="80" xr:uid="{BC46F649-E128-464D-B1C0-6564B68072EE}"/>
    <cellStyle name="Comma 2 2 4 3 2 2" xfId="128" xr:uid="{EBD5D7C6-792C-4D51-88B9-2C1E27D6F209}"/>
    <cellStyle name="Comma 2 2 4 3 3" xfId="129" xr:uid="{A5992F4C-B282-4E2A-8C38-7A02044128CD}"/>
    <cellStyle name="Comma 2 2 4 4" xfId="67" xr:uid="{944E1AF1-2D15-401B-A0DF-CDF364944932}"/>
    <cellStyle name="Comma 2 2 4 4 2" xfId="130" xr:uid="{314E964B-D2A8-4CF4-918B-6247CFEAC14C}"/>
    <cellStyle name="Comma 2 2 4 5" xfId="131" xr:uid="{BC6D5DF8-90B6-44B4-B401-FB13419387C5}"/>
    <cellStyle name="Comma 2 2 5" xfId="9" xr:uid="{278D965F-B41B-44DE-91C1-AD9DDF0E8EA0}"/>
    <cellStyle name="Comma 2 2 5 2" xfId="40" xr:uid="{FAE50CD4-B5A0-4421-AB97-6641C4EF5E25}"/>
    <cellStyle name="Comma 2 2 5 2 2" xfId="89" xr:uid="{897D0A05-1C9C-4982-A0E5-FB8811E00DB5}"/>
    <cellStyle name="Comma 2 2 5 2 2 2" xfId="132" xr:uid="{56DC2C60-1AA6-4BE5-BA55-C192BFDACCBE}"/>
    <cellStyle name="Comma 2 2 5 2 3" xfId="133" xr:uid="{E0172B06-2756-4810-A82F-FCC6842064EF}"/>
    <cellStyle name="Comma 2 2 5 3" xfId="59" xr:uid="{4D226F4F-E99A-4C66-B7A4-A6BB27764A15}"/>
    <cellStyle name="Comma 2 2 5 3 2" xfId="134" xr:uid="{96C3E650-6306-4035-A2EB-063C91B998AC}"/>
    <cellStyle name="Comma 2 2 5 4" xfId="135" xr:uid="{BE0CFD01-E6D3-4634-B75B-AEB2CCB5E186}"/>
    <cellStyle name="Comma 2 2 6" xfId="41" xr:uid="{A1E84678-8388-45AC-BA8D-88923E7AA882}"/>
    <cellStyle name="Comma 2 2 6 2" xfId="90" xr:uid="{04832847-F2FD-48E9-9EA0-6FCAC5E1E155}"/>
    <cellStyle name="Comma 2 2 6 2 2" xfId="136" xr:uid="{0F72C9CD-4624-4DA6-AE13-93AA61FF42CE}"/>
    <cellStyle name="Comma 2 2 6 3" xfId="137" xr:uid="{A408C71D-EB91-4AE0-9FB8-41BCD0CDF58E}"/>
    <cellStyle name="Comma 2 2 7" xfId="22" xr:uid="{513AE474-3765-4CAC-9C0C-8093854D81A3}"/>
    <cellStyle name="Comma 2 2 7 2" xfId="72" xr:uid="{990857BB-AD25-42E6-BAFC-8BACEF304DF0}"/>
    <cellStyle name="Comma 2 2 7 2 2" xfId="138" xr:uid="{C75B0A2D-53A1-492A-A619-87E483AFBACB}"/>
    <cellStyle name="Comma 2 2 7 3" xfId="139" xr:uid="{B8B5A627-D4CB-48D7-B9B9-1A556504BABA}"/>
    <cellStyle name="Comma 2 2 8" xfId="54" xr:uid="{F2670C64-AB3F-4831-A321-204C513E9F6F}"/>
    <cellStyle name="Comma 2 2 8 2" xfId="140" xr:uid="{F88C071A-4871-47D3-83DF-7D34FBF2A14D}"/>
    <cellStyle name="Comma 2 2 9" xfId="141" xr:uid="{31CD5F5A-6FA3-437F-8F0E-7CECDA7B5132}"/>
    <cellStyle name="Comma 2 3" xfId="6" xr:uid="{8BD7E0DF-E534-486C-9095-6A0797A819DF}"/>
    <cellStyle name="Comma 2 3 2" xfId="15" xr:uid="{8676C19A-B0FE-4E4C-AE12-5130DA6B79A4}"/>
    <cellStyle name="Comma 2 3 2 2" xfId="42" xr:uid="{BC61645D-1FFF-42C8-81DC-A6186BA532B7}"/>
    <cellStyle name="Comma 2 3 2 2 2" xfId="91" xr:uid="{B7887099-672D-45D4-8AFA-548FEE5A98D7}"/>
    <cellStyle name="Comma 2 3 2 2 2 2" xfId="142" xr:uid="{D46E534E-DB49-4D88-9BCA-C65823EBC8FF}"/>
    <cellStyle name="Comma 2 3 2 2 3" xfId="143" xr:uid="{2C5E157B-0923-490C-8326-9EB24A29438D}"/>
    <cellStyle name="Comma 2 3 2 3" xfId="28" xr:uid="{3854E142-1EA7-41EE-972D-14162F39583D}"/>
    <cellStyle name="Comma 2 3 2 3 2" xfId="78" xr:uid="{95390C7D-845D-4430-B16F-EA07DB92DAFE}"/>
    <cellStyle name="Comma 2 3 2 3 2 2" xfId="144" xr:uid="{C27F641B-5DCD-4DAB-8146-2B1761BC8343}"/>
    <cellStyle name="Comma 2 3 2 3 3" xfId="145" xr:uid="{0E91734E-E671-4D81-8ED2-12DBAABCFEDC}"/>
    <cellStyle name="Comma 2 3 2 4" xfId="65" xr:uid="{F95FAFFA-E2C5-44F5-9A9B-EEA7E252A476}"/>
    <cellStyle name="Comma 2 3 2 4 2" xfId="146" xr:uid="{32A4286D-EEE1-4DA4-8824-4D513A08E362}"/>
    <cellStyle name="Comma 2 3 2 5" xfId="147" xr:uid="{D5A7069A-9C32-4644-9CAF-B09401D38860}"/>
    <cellStyle name="Comma 2 3 3" xfId="20" xr:uid="{D7DBCB7C-4D4C-4692-920A-F030534A6C47}"/>
    <cellStyle name="Comma 2 3 3 2" xfId="43" xr:uid="{9282044C-3E3B-42DD-A2FA-2337EC780CD5}"/>
    <cellStyle name="Comma 2 3 3 2 2" xfId="92" xr:uid="{871F1725-DB5D-451C-91C3-614D88B830F1}"/>
    <cellStyle name="Comma 2 3 3 2 2 2" xfId="148" xr:uid="{9BDEEBD4-6351-4B1A-86F1-FE2D57BBCB44}"/>
    <cellStyle name="Comma 2 3 3 2 3" xfId="149" xr:uid="{F32FF0C8-D4F7-4F37-91C6-644C179E387B}"/>
    <cellStyle name="Comma 2 3 3 3" xfId="33" xr:uid="{6F4A280A-3463-42A3-8EF2-0D5E61A2FC20}"/>
    <cellStyle name="Comma 2 3 3 3 2" xfId="83" xr:uid="{500930D5-BD80-4A12-B97C-F0D06B940B91}"/>
    <cellStyle name="Comma 2 3 3 3 2 2" xfId="150" xr:uid="{5FB86F8C-6085-42CC-9193-79FE86865A81}"/>
    <cellStyle name="Comma 2 3 3 3 3" xfId="151" xr:uid="{11452C50-272A-421F-81F4-03B79908B914}"/>
    <cellStyle name="Comma 2 3 3 4" xfId="70" xr:uid="{F2355589-3417-4335-B83A-5A34A78EE784}"/>
    <cellStyle name="Comma 2 3 3 4 2" xfId="152" xr:uid="{2BA1FF95-6F30-4CDC-A798-F48EC9B6F446}"/>
    <cellStyle name="Comma 2 3 3 5" xfId="153" xr:uid="{CADB35F5-D684-46E3-858B-4FE056309707}"/>
    <cellStyle name="Comma 2 3 4" xfId="10" xr:uid="{E48B6957-58DB-45A5-89DB-C2A37E16275F}"/>
    <cellStyle name="Comma 2 3 4 2" xfId="44" xr:uid="{391628B2-48FE-4399-B281-6CE5D0AA9728}"/>
    <cellStyle name="Comma 2 3 4 2 2" xfId="93" xr:uid="{F34F4A8E-03BD-4FD5-A5D8-590FB661B52F}"/>
    <cellStyle name="Comma 2 3 4 2 2 2" xfId="154" xr:uid="{652ED5E1-7B14-462D-BEE0-B1E58D2F4B35}"/>
    <cellStyle name="Comma 2 3 4 2 3" xfId="155" xr:uid="{AE8206AD-F236-4E91-A613-B7F40CAB73EB}"/>
    <cellStyle name="Comma 2 3 4 3" xfId="60" xr:uid="{0A4565EA-4661-46DD-8CD7-623EC6E7D823}"/>
    <cellStyle name="Comma 2 3 4 3 2" xfId="156" xr:uid="{E7177793-1511-4905-BBA0-6B48D2260559}"/>
    <cellStyle name="Comma 2 3 4 4" xfId="157" xr:uid="{08A9D11B-C451-4ED4-9F0D-455A7945CD50}"/>
    <cellStyle name="Comma 2 3 5" xfId="45" xr:uid="{A80480EC-1164-4C16-8F38-2221D8710814}"/>
    <cellStyle name="Comma 2 3 5 2" xfId="94" xr:uid="{9CCCEEA6-31DF-473C-A9B0-C75B52A9CF63}"/>
    <cellStyle name="Comma 2 3 5 2 2" xfId="158" xr:uid="{E772A1EF-5BF8-42BA-9BA6-3FCA7EF501B6}"/>
    <cellStyle name="Comma 2 3 5 3" xfId="159" xr:uid="{A81543CB-849A-4088-9581-2A56DBCA29C6}"/>
    <cellStyle name="Comma 2 3 6" xfId="23" xr:uid="{798778A7-FEF9-462E-A4CC-BAB816AF0312}"/>
    <cellStyle name="Comma 2 3 6 2" xfId="73" xr:uid="{DB8C15B1-E7D5-4125-912B-4BE029CE15D8}"/>
    <cellStyle name="Comma 2 3 6 2 2" xfId="160" xr:uid="{F2C0FC43-11A8-48D2-A429-9B32729EAA24}"/>
    <cellStyle name="Comma 2 3 6 3" xfId="161" xr:uid="{A18D191A-F60D-4DD6-9BBD-B59DA41AC4C6}"/>
    <cellStyle name="Comma 2 3 7" xfId="57" xr:uid="{B4EAF98A-1288-4206-94A7-FC9C5B074B32}"/>
    <cellStyle name="Comma 2 3 7 2" xfId="162" xr:uid="{60F4984D-DE8D-437C-8AEE-C95D6C604DB9}"/>
    <cellStyle name="Comma 2 3 8" xfId="163" xr:uid="{37AABDF7-6B03-4E47-88B7-E4654985C978}"/>
    <cellStyle name="Comma 2 4" xfId="3" xr:uid="{82D81F89-4E00-45A5-9DC3-367AC038E70A}"/>
    <cellStyle name="Comma 2 4 2" xfId="18" xr:uid="{D0D02444-9867-4694-8741-7178CC90053E}"/>
    <cellStyle name="Comma 2 4 2 2" xfId="46" xr:uid="{09D61009-BC80-482A-9741-BABD8BEBA83F}"/>
    <cellStyle name="Comma 2 4 2 2 2" xfId="95" xr:uid="{02CC2E5E-FC2B-4DF4-B44E-A1DC362F4EB0}"/>
    <cellStyle name="Comma 2 4 2 2 2 2" xfId="164" xr:uid="{E0A5FEBF-3FB4-4988-8F54-B6098BD10347}"/>
    <cellStyle name="Comma 2 4 2 2 3" xfId="165" xr:uid="{C9765CBD-D8EC-48EC-9E4A-FBBAFCC60CC9}"/>
    <cellStyle name="Comma 2 4 2 3" xfId="31" xr:uid="{3E8B1854-3EF6-48C1-BF19-2C29163D4DF1}"/>
    <cellStyle name="Comma 2 4 2 3 2" xfId="81" xr:uid="{CAE95ED2-442D-4228-B8ED-82EC6B4FC88E}"/>
    <cellStyle name="Comma 2 4 2 3 2 2" xfId="166" xr:uid="{98CF5799-CA40-4762-ADF8-1BD2064D13FE}"/>
    <cellStyle name="Comma 2 4 2 3 3" xfId="167" xr:uid="{07539169-548F-4C73-8332-F9EB8CF62AE2}"/>
    <cellStyle name="Comma 2 4 2 4" xfId="68" xr:uid="{B88C9BAC-DDE6-4012-9D09-61846A9F578F}"/>
    <cellStyle name="Comma 2 4 2 4 2" xfId="168" xr:uid="{DC31CE84-0FD1-452F-83E0-173AAA0EB9BE}"/>
    <cellStyle name="Comma 2 4 2 5" xfId="169" xr:uid="{E67D8A1A-2081-4CE0-8CF0-C95A7FF36D5F}"/>
    <cellStyle name="Comma 2 4 3" xfId="13" xr:uid="{5921B87C-7D8E-4E2E-8706-29B94DFF2400}"/>
    <cellStyle name="Comma 2 4 3 2" xfId="47" xr:uid="{1B19875B-2BD1-4825-AC8C-335B594307C8}"/>
    <cellStyle name="Comma 2 4 3 2 2" xfId="96" xr:uid="{781AA873-6DC1-4EB6-A9A4-C57758E507BB}"/>
    <cellStyle name="Comma 2 4 3 2 2 2" xfId="170" xr:uid="{FFEB7D01-FDAE-471F-B246-FCFD2D550ECB}"/>
    <cellStyle name="Comma 2 4 3 2 3" xfId="171" xr:uid="{CEF5FA1F-CFFF-4913-9299-FE5E4032BEDC}"/>
    <cellStyle name="Comma 2 4 3 3" xfId="63" xr:uid="{20AC4A2B-892B-4F2C-8AD3-3D666608A50A}"/>
    <cellStyle name="Comma 2 4 3 3 2" xfId="172" xr:uid="{675E9C1A-111F-463C-860E-6ACFD748077C}"/>
    <cellStyle name="Comma 2 4 3 4" xfId="173" xr:uid="{A7820287-4E84-42AB-817D-8F5217D081D6}"/>
    <cellStyle name="Comma 2 4 4" xfId="48" xr:uid="{21ADECD5-7DCB-4601-85EA-AB14245C58B8}"/>
    <cellStyle name="Comma 2 4 4 2" xfId="97" xr:uid="{E705E5D9-E64A-465F-8DB9-E65C1912B8B6}"/>
    <cellStyle name="Comma 2 4 4 2 2" xfId="174" xr:uid="{763F70BE-CC86-460E-A802-1C06B435D581}"/>
    <cellStyle name="Comma 2 4 4 3" xfId="175" xr:uid="{FE317467-6F0C-42A6-8EC2-B7DD53B17A49}"/>
    <cellStyle name="Comma 2 4 5" xfId="26" xr:uid="{6FD7B422-B66B-42D9-A1BC-802E5EBD8635}"/>
    <cellStyle name="Comma 2 4 5 2" xfId="76" xr:uid="{33503566-88C2-4FA0-9A4F-4AF61FE35180}"/>
    <cellStyle name="Comma 2 4 5 2 2" xfId="176" xr:uid="{137E5D2D-224D-4E8B-829B-C1EFF8C1E19D}"/>
    <cellStyle name="Comma 2 4 5 3" xfId="177" xr:uid="{02FA39CA-452B-4A3C-B0C6-83922931FA68}"/>
    <cellStyle name="Comma 2 4 6" xfId="55" xr:uid="{BDD648E4-9720-4B43-80FB-7125AFC27653}"/>
    <cellStyle name="Comma 2 4 6 2" xfId="178" xr:uid="{EF8C0F06-15DA-418E-886D-2AD31FC52E6F}"/>
    <cellStyle name="Comma 2 4 7" xfId="179" xr:uid="{7B27F2F5-1765-4270-8FC5-8493115AB616}"/>
    <cellStyle name="Comma 2 5" xfId="11" xr:uid="{BFB90970-152D-41CA-A7CE-20CFC687F3C0}"/>
    <cellStyle name="Comma 2 5 2" xfId="49" xr:uid="{FBDBED10-F44F-4561-9374-5819A3796BC0}"/>
    <cellStyle name="Comma 2 5 2 2" xfId="98" xr:uid="{ED415BAA-D8E8-410C-B4D0-BC0A2F4D9B82}"/>
    <cellStyle name="Comma 2 5 2 2 2" xfId="180" xr:uid="{63EC2EB5-97A4-4A5D-AC59-14B282D880FA}"/>
    <cellStyle name="Comma 2 5 2 3" xfId="181" xr:uid="{30FFF1DE-207C-42AE-9A69-D7C80BB3D0DA}"/>
    <cellStyle name="Comma 2 5 3" xfId="24" xr:uid="{E2EA6AFE-DC08-49A4-B092-8AC4842087E4}"/>
    <cellStyle name="Comma 2 5 3 2" xfId="74" xr:uid="{C497D069-D047-4341-8C4F-F6DE05D12561}"/>
    <cellStyle name="Comma 2 5 3 2 2" xfId="182" xr:uid="{F2F70403-CB2A-491E-9729-90CDB30C0F3B}"/>
    <cellStyle name="Comma 2 5 3 3" xfId="183" xr:uid="{1F009F7E-79EC-4AF5-B62D-62800FDFBE42}"/>
    <cellStyle name="Comma 2 5 4" xfId="61" xr:uid="{C119AEBB-D40F-401E-80B6-69DA1FD8FBF7}"/>
    <cellStyle name="Comma 2 5 4 2" xfId="184" xr:uid="{1778AD53-1806-4A8D-8569-831AFAAE9C5B}"/>
    <cellStyle name="Comma 2 5 5" xfId="185" xr:uid="{71AE1AB5-1610-4E89-B923-9FD5AAD0CE12}"/>
    <cellStyle name="Comma 2 6" xfId="16" xr:uid="{AAC4EB8C-1679-4632-970F-28225DDA5DED}"/>
    <cellStyle name="Comma 2 6 2" xfId="50" xr:uid="{D6152138-C641-4C1B-B9E3-9C7CA2E737F4}"/>
    <cellStyle name="Comma 2 6 2 2" xfId="99" xr:uid="{9E998C4B-7C7E-47E8-86B1-7EA9D3E2555F}"/>
    <cellStyle name="Comma 2 6 2 2 2" xfId="186" xr:uid="{524E6038-B260-40C9-BCA2-AD81A7BE61DE}"/>
    <cellStyle name="Comma 2 6 2 3" xfId="187" xr:uid="{F48DAB94-C73F-4A36-B8FF-05206C82F023}"/>
    <cellStyle name="Comma 2 6 3" xfId="29" xr:uid="{99F577E0-A2A7-49F0-857B-2C7F8672D421}"/>
    <cellStyle name="Comma 2 6 3 2" xfId="79" xr:uid="{9B19AF14-B4BE-4376-9853-EB74A51708A2}"/>
    <cellStyle name="Comma 2 6 3 2 2" xfId="188" xr:uid="{CE629C38-67F7-46CF-8020-E6EA98F0CFC2}"/>
    <cellStyle name="Comma 2 6 3 3" xfId="189" xr:uid="{BAB711AB-A908-4FDC-B441-03E1FDA6C02F}"/>
    <cellStyle name="Comma 2 6 4" xfId="66" xr:uid="{B9F046DE-E6D4-4D9A-9179-DEB923C98F52}"/>
    <cellStyle name="Comma 2 6 4 2" xfId="190" xr:uid="{60AA275A-6D51-4EA5-A5B5-A1751E3F2080}"/>
    <cellStyle name="Comma 2 6 5" xfId="191" xr:uid="{6DDD6784-860C-461B-A5CE-073C232CC4BF}"/>
    <cellStyle name="Comma 2 7" xfId="8" xr:uid="{32277DE8-8723-41D9-AF08-DD6CC9EFDFED}"/>
    <cellStyle name="Comma 2 7 2" xfId="51" xr:uid="{A1CE7484-FC5F-4E90-9C68-DEFF0FAC436B}"/>
    <cellStyle name="Comma 2 7 2 2" xfId="100" xr:uid="{EE4CFE86-9640-4975-BC0C-9FC3CC6C2475}"/>
    <cellStyle name="Comma 2 7 2 2 2" xfId="192" xr:uid="{A18D01A6-0FAB-4755-B4AF-2A9547C46BE0}"/>
    <cellStyle name="Comma 2 7 2 3" xfId="193" xr:uid="{B2CA1FC4-AF96-4844-8CD7-C3F303948471}"/>
    <cellStyle name="Comma 2 7 3" xfId="58" xr:uid="{0DA47A41-C690-4AA2-8868-9290B0552807}"/>
    <cellStyle name="Comma 2 7 3 2" xfId="194" xr:uid="{D945BF58-7E11-413F-A54F-7FC452CA5583}"/>
    <cellStyle name="Comma 2 7 4" xfId="195" xr:uid="{FEB0C654-BF18-4856-95E0-18CEF8216685}"/>
    <cellStyle name="Comma 2 8" xfId="52" xr:uid="{AF46CFF3-D518-49D9-B554-8EC9EBA31C24}"/>
    <cellStyle name="Comma 2 8 2" xfId="101" xr:uid="{825B4FA4-6CFD-4F73-BDDF-9A1B1E6DAD0F}"/>
    <cellStyle name="Comma 2 8 2 2" xfId="196" xr:uid="{576385FA-F42F-4A44-802C-92E811D4ADA9}"/>
    <cellStyle name="Comma 2 8 3" xfId="197" xr:uid="{6E24EA61-48CA-4CB1-AB73-1EBD84E8D1AA}"/>
    <cellStyle name="Comma 2 9" xfId="21" xr:uid="{1F6739EA-B5C8-4166-BB47-06AB63A0FE41}"/>
    <cellStyle name="Comma 2 9 2" xfId="71" xr:uid="{B1ED2ACA-AEAB-4F3A-A9C3-567229CFEB1F}"/>
    <cellStyle name="Comma 2 9 2 2" xfId="198" xr:uid="{CA6E737C-FAC6-40BB-AF17-887F897043E9}"/>
    <cellStyle name="Comma 2 9 3" xfId="199" xr:uid="{32A28569-4BBF-43B6-95E8-07DBFB64F893}"/>
    <cellStyle name="Hyperlink" xfId="34" xr:uid="{43AFEBBB-3951-44B7-986B-C251F06BF9DE}"/>
    <cellStyle name="Normal" xfId="0" builtinId="0"/>
    <cellStyle name="Normal 2" xfId="7" xr:uid="{53A1350A-2A28-4DE7-8231-9761BE809530}"/>
    <cellStyle name="Normal 3" xfId="4" xr:uid="{C056A8CB-4FE0-440E-93BF-9FDAFCB574BA}"/>
  </cellStyles>
  <dxfs count="67">
    <dxf>
      <font>
        <b/>
        <i val="0"/>
        <color theme="0"/>
      </font>
      <fill>
        <patternFill>
          <bgColor rgb="FFFF0000"/>
        </patternFill>
      </fill>
    </dxf>
    <dxf>
      <font>
        <b/>
        <i val="0"/>
      </font>
      <fill>
        <patternFill>
          <bgColor rgb="FFFBDE4F"/>
        </patternFill>
      </fill>
    </dxf>
    <dxf>
      <font>
        <b/>
        <i val="0"/>
      </font>
      <fill>
        <patternFill>
          <bgColor rgb="FFFFC000"/>
        </patternFill>
      </fill>
    </dxf>
    <dxf>
      <font>
        <b/>
        <i val="0"/>
      </font>
      <fill>
        <patternFill>
          <bgColor theme="9" tint="0.39994506668294322"/>
        </patternFill>
      </fill>
    </dxf>
    <dxf>
      <font>
        <b/>
        <i val="0"/>
      </font>
      <fill>
        <patternFill>
          <bgColor theme="9" tint="0.39994506668294322"/>
        </patternFill>
      </fill>
    </dxf>
    <dxf>
      <font>
        <b/>
        <i val="0"/>
        <color theme="0"/>
      </font>
      <fill>
        <patternFill>
          <bgColor rgb="FFFF0000"/>
        </patternFill>
      </fill>
    </dxf>
    <dxf>
      <font>
        <b/>
        <i val="0"/>
      </font>
      <fill>
        <patternFill>
          <bgColor rgb="FFFBDE4F"/>
        </patternFill>
      </fill>
    </dxf>
    <dxf>
      <font>
        <b/>
        <i val="0"/>
      </font>
      <fill>
        <patternFill>
          <bgColor rgb="FFFFC000"/>
        </patternFill>
      </fill>
    </dxf>
    <dxf>
      <font>
        <b/>
        <i val="0"/>
      </font>
      <fill>
        <patternFill>
          <bgColor theme="9" tint="0.39994506668294322"/>
        </patternFill>
      </fill>
    </dxf>
    <dxf>
      <font>
        <b/>
        <i val="0"/>
        <color theme="0"/>
      </font>
      <fill>
        <patternFill>
          <bgColor rgb="FFFF0000"/>
        </patternFill>
      </fill>
    </dxf>
    <dxf>
      <font>
        <b/>
        <i val="0"/>
      </font>
      <fill>
        <patternFill>
          <bgColor rgb="FFFBDE4F"/>
        </patternFill>
      </fill>
    </dxf>
    <dxf>
      <font>
        <b/>
        <i val="0"/>
      </font>
      <fill>
        <patternFill>
          <bgColor rgb="FFFFC000"/>
        </patternFill>
      </fill>
    </dxf>
    <dxf>
      <font>
        <b/>
        <i val="0"/>
      </font>
      <fill>
        <patternFill>
          <bgColor theme="9" tint="0.39994506668294322"/>
        </patternFill>
      </fill>
    </dxf>
    <dxf>
      <font>
        <b/>
        <i val="0"/>
      </font>
      <fill>
        <patternFill>
          <bgColor rgb="FFFFC000"/>
        </patternFill>
      </fill>
    </dxf>
    <dxf>
      <font>
        <b/>
        <i val="0"/>
      </font>
      <fill>
        <patternFill>
          <bgColor rgb="FFFBDE4F"/>
        </patternFill>
      </fill>
    </dxf>
    <dxf>
      <font>
        <b/>
        <i val="0"/>
        <color theme="0"/>
      </font>
      <fill>
        <patternFill>
          <bgColor rgb="FFFF0000"/>
        </patternFill>
      </fill>
    </dxf>
    <dxf>
      <font>
        <b/>
        <i val="0"/>
      </font>
      <fill>
        <patternFill>
          <bgColor rgb="FFFBDE4F"/>
        </patternFill>
      </fill>
    </dxf>
    <dxf>
      <font>
        <b/>
        <i val="0"/>
      </font>
      <fill>
        <patternFill>
          <bgColor rgb="FFFFC000"/>
        </patternFill>
      </fill>
    </dxf>
    <dxf>
      <font>
        <b/>
        <i val="0"/>
      </font>
      <fill>
        <patternFill>
          <bgColor theme="9" tint="0.39994506668294322"/>
        </patternFill>
      </fill>
    </dxf>
    <dxf>
      <font>
        <b/>
        <i val="0"/>
        <color theme="0"/>
      </font>
      <fill>
        <patternFill>
          <bgColor rgb="FFFF0000"/>
        </patternFill>
      </fill>
    </dxf>
    <dxf>
      <font>
        <b/>
        <i val="0"/>
      </font>
      <fill>
        <patternFill>
          <bgColor theme="9" tint="0.39994506668294322"/>
        </patternFill>
      </fill>
    </dxf>
    <dxf>
      <font>
        <b/>
        <i val="0"/>
        <color theme="0"/>
      </font>
      <fill>
        <patternFill>
          <bgColor rgb="FFFF0000"/>
        </patternFill>
      </fill>
    </dxf>
    <dxf>
      <font>
        <b/>
        <i val="0"/>
      </font>
      <fill>
        <patternFill>
          <bgColor rgb="FFFBDE4F"/>
        </patternFill>
      </fill>
    </dxf>
    <dxf>
      <font>
        <b/>
        <i val="0"/>
      </font>
      <fill>
        <patternFill>
          <bgColor rgb="FFFFC000"/>
        </patternFill>
      </fill>
    </dxf>
    <dxf>
      <font>
        <b/>
        <i val="0"/>
      </font>
      <fill>
        <patternFill>
          <bgColor rgb="FFFFC000"/>
        </patternFill>
      </fill>
    </dxf>
    <dxf>
      <font>
        <b/>
        <i val="0"/>
      </font>
      <fill>
        <patternFill>
          <bgColor rgb="FFFBDE4F"/>
        </patternFill>
      </fill>
    </dxf>
    <dxf>
      <font>
        <b/>
        <i val="0"/>
        <color theme="0"/>
      </font>
      <fill>
        <patternFill>
          <bgColor rgb="FFFF0000"/>
        </patternFill>
      </fill>
    </dxf>
    <dxf>
      <font>
        <b/>
        <i val="0"/>
      </font>
      <fill>
        <patternFill>
          <bgColor theme="9" tint="0.39994506668294322"/>
        </patternFill>
      </fill>
    </dxf>
    <dxf>
      <font>
        <b/>
        <i val="0"/>
      </font>
      <fill>
        <patternFill>
          <bgColor theme="9" tint="0.39994506668294322"/>
        </patternFill>
      </fill>
    </dxf>
    <dxf>
      <font>
        <b/>
        <i val="0"/>
      </font>
      <fill>
        <patternFill>
          <bgColor rgb="FFFFC000"/>
        </patternFill>
      </fill>
    </dxf>
    <dxf>
      <font>
        <b/>
        <i val="0"/>
      </font>
      <fill>
        <patternFill>
          <bgColor rgb="FFFBDE4F"/>
        </patternFill>
      </fill>
    </dxf>
    <dxf>
      <font>
        <b/>
        <i val="0"/>
        <color theme="0"/>
      </font>
      <fill>
        <patternFill>
          <bgColor rgb="FFFF0000"/>
        </patternFill>
      </fill>
    </dxf>
    <dxf>
      <font>
        <b/>
        <i val="0"/>
      </font>
      <fill>
        <patternFill>
          <bgColor rgb="FFFBDE4F"/>
        </patternFill>
      </fill>
    </dxf>
    <dxf>
      <font>
        <b/>
        <i val="0"/>
        <color theme="0"/>
      </font>
      <fill>
        <patternFill>
          <bgColor rgb="FFFF0000"/>
        </patternFill>
      </fill>
    </dxf>
    <dxf>
      <font>
        <b/>
        <i val="0"/>
      </font>
      <fill>
        <patternFill>
          <bgColor theme="9" tint="0.39994506668294322"/>
        </patternFill>
      </fill>
    </dxf>
    <dxf>
      <font>
        <b/>
        <i val="0"/>
      </font>
      <fill>
        <patternFill>
          <bgColor rgb="FFFFC000"/>
        </patternFill>
      </fill>
    </dxf>
    <dxf>
      <font>
        <b/>
        <i val="0"/>
      </font>
      <fill>
        <patternFill>
          <bgColor rgb="FFFFC000"/>
        </patternFill>
      </fill>
    </dxf>
    <dxf>
      <font>
        <b/>
        <i val="0"/>
      </font>
      <fill>
        <patternFill>
          <bgColor theme="9" tint="0.39994506668294322"/>
        </patternFill>
      </fill>
    </dxf>
    <dxf>
      <font>
        <b/>
        <i val="0"/>
        <color theme="0"/>
      </font>
      <fill>
        <patternFill>
          <bgColor rgb="FFFF0000"/>
        </patternFill>
      </fill>
    </dxf>
    <dxf>
      <font>
        <b/>
        <i val="0"/>
      </font>
      <fill>
        <patternFill>
          <bgColor rgb="FFFBDE4F"/>
        </patternFill>
      </fill>
    </dxf>
    <dxf>
      <font>
        <b/>
        <i val="0"/>
      </font>
      <fill>
        <patternFill>
          <bgColor rgb="FFFBDE4F"/>
        </patternFill>
      </fill>
    </dxf>
    <dxf>
      <font>
        <b/>
        <i val="0"/>
        <color theme="0"/>
      </font>
      <fill>
        <patternFill>
          <bgColor rgb="FFFF0000"/>
        </patternFill>
      </fill>
    </dxf>
    <dxf>
      <font>
        <b/>
        <i val="0"/>
      </font>
      <fill>
        <patternFill>
          <bgColor theme="9" tint="0.39994506668294322"/>
        </patternFill>
      </fill>
    </dxf>
    <dxf>
      <font>
        <b/>
        <i val="0"/>
      </font>
      <fill>
        <patternFill>
          <bgColor rgb="FFFFC000"/>
        </patternFill>
      </fill>
    </dxf>
    <dxf>
      <font>
        <b/>
        <i val="0"/>
        <color theme="0"/>
      </font>
      <fill>
        <patternFill>
          <bgColor rgb="FFFF0000"/>
        </patternFill>
      </fill>
    </dxf>
    <dxf>
      <font>
        <b/>
        <i val="0"/>
      </font>
      <fill>
        <patternFill>
          <bgColor theme="9" tint="0.39994506668294322"/>
        </patternFill>
      </fill>
    </dxf>
    <dxf>
      <font>
        <b/>
        <i val="0"/>
      </font>
      <fill>
        <patternFill>
          <bgColor rgb="FFFFC000"/>
        </patternFill>
      </fill>
    </dxf>
    <dxf>
      <font>
        <b/>
        <i val="0"/>
      </font>
      <fill>
        <patternFill>
          <bgColor rgb="FFFBDE4F"/>
        </patternFill>
      </fill>
    </dxf>
    <dxf>
      <font>
        <b/>
        <i val="0"/>
      </font>
      <fill>
        <patternFill>
          <bgColor rgb="FFFFC000"/>
        </patternFill>
      </fill>
    </dxf>
    <dxf>
      <font>
        <b/>
        <i val="0"/>
      </font>
      <fill>
        <patternFill>
          <bgColor rgb="FFFBDE4F"/>
        </patternFill>
      </fill>
    </dxf>
    <dxf>
      <font>
        <b/>
        <i val="0"/>
        <color theme="0"/>
      </font>
      <fill>
        <patternFill>
          <bgColor rgb="FFFF0000"/>
        </patternFill>
      </fill>
    </dxf>
    <dxf>
      <font>
        <b/>
        <i val="0"/>
      </font>
      <fill>
        <patternFill>
          <bgColor theme="9" tint="0.39994506668294322"/>
        </patternFill>
      </fill>
    </dxf>
    <dxf>
      <font>
        <b/>
        <i val="0"/>
      </font>
      <fill>
        <patternFill>
          <bgColor rgb="FFFBDE4F"/>
        </patternFill>
      </fill>
    </dxf>
    <dxf>
      <font>
        <b/>
        <i val="0"/>
      </font>
      <fill>
        <patternFill>
          <bgColor rgb="FFFFC000"/>
        </patternFill>
      </fill>
    </dxf>
    <dxf>
      <font>
        <b/>
        <i val="0"/>
      </font>
      <fill>
        <patternFill>
          <bgColor theme="9" tint="0.39994506668294322"/>
        </patternFill>
      </fill>
    </dxf>
    <dxf>
      <font>
        <b/>
        <i val="0"/>
        <color theme="0"/>
      </font>
      <fill>
        <patternFill>
          <bgColor rgb="FFFF0000"/>
        </patternFill>
      </fill>
    </dxf>
    <dxf>
      <font>
        <b/>
        <i val="0"/>
      </font>
      <fill>
        <patternFill>
          <bgColor theme="9" tint="0.39994506668294322"/>
        </patternFill>
      </fill>
    </dxf>
    <dxf>
      <font>
        <b/>
        <i val="0"/>
      </font>
      <fill>
        <patternFill>
          <bgColor rgb="FFFFC000"/>
        </patternFill>
      </fill>
    </dxf>
    <dxf>
      <font>
        <b/>
        <i val="0"/>
      </font>
      <fill>
        <patternFill>
          <bgColor rgb="FFFBDE4F"/>
        </patternFill>
      </fill>
    </dxf>
    <dxf>
      <font>
        <b/>
        <i val="0"/>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lor theme="3" tint="9.9948118533890809E-2"/>
      </font>
      <fill>
        <patternFill>
          <bgColor theme="3" tint="0.749961851863155"/>
        </patternFill>
      </fill>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2D3F2-709C-410B-BB0B-F8F1CDE9380B}">
  <sheetPr codeName="Planilha1"/>
  <dimension ref="B2:C19"/>
  <sheetViews>
    <sheetView showGridLines="0" workbookViewId="0">
      <selection activeCell="G12" sqref="G12"/>
    </sheetView>
  </sheetViews>
  <sheetFormatPr defaultRowHeight="14.5" x14ac:dyDescent="0.35"/>
  <cols>
    <col min="2" max="2" width="20.453125" customWidth="1"/>
    <col min="3" max="3" width="60.81640625" customWidth="1"/>
  </cols>
  <sheetData>
    <row r="2" spans="2:3" ht="20.149999999999999" customHeight="1" x14ac:dyDescent="0.35">
      <c r="B2" s="13" t="s">
        <v>0</v>
      </c>
      <c r="C2" s="19" t="s">
        <v>1</v>
      </c>
    </row>
    <row r="3" spans="2:3" s="14" customFormat="1" ht="19.5" customHeight="1" x14ac:dyDescent="0.25">
      <c r="B3" s="18" t="s">
        <v>2</v>
      </c>
      <c r="C3" s="20" t="s">
        <v>3</v>
      </c>
    </row>
    <row r="4" spans="2:3" s="15" customFormat="1" ht="19.5" customHeight="1" x14ac:dyDescent="0.35">
      <c r="B4" s="16" t="s">
        <v>4</v>
      </c>
      <c r="C4" s="20" t="s">
        <v>5</v>
      </c>
    </row>
    <row r="5" spans="2:3" s="15" customFormat="1" ht="19.5" customHeight="1" x14ac:dyDescent="0.35">
      <c r="B5" s="16" t="s">
        <v>6</v>
      </c>
      <c r="C5" s="20" t="s">
        <v>7</v>
      </c>
    </row>
    <row r="6" spans="2:3" s="15" customFormat="1" ht="19.5" customHeight="1" x14ac:dyDescent="0.35">
      <c r="B6" s="16" t="s">
        <v>8</v>
      </c>
      <c r="C6" s="20" t="s">
        <v>9</v>
      </c>
    </row>
    <row r="7" spans="2:3" s="15" customFormat="1" ht="19.5" customHeight="1" x14ac:dyDescent="0.35">
      <c r="B7" s="16" t="s">
        <v>10</v>
      </c>
      <c r="C7" s="20" t="s">
        <v>11</v>
      </c>
    </row>
    <row r="8" spans="2:3" s="15" customFormat="1" ht="19.5" customHeight="1" x14ac:dyDescent="0.35">
      <c r="B8" s="16" t="s">
        <v>12</v>
      </c>
      <c r="C8" s="20" t="s">
        <v>13</v>
      </c>
    </row>
    <row r="9" spans="2:3" s="15" customFormat="1" ht="19.5" customHeight="1" x14ac:dyDescent="0.35">
      <c r="B9" s="16" t="s">
        <v>14</v>
      </c>
      <c r="C9" s="20" t="s">
        <v>15</v>
      </c>
    </row>
    <row r="10" spans="2:3" s="15" customFormat="1" ht="19.5" customHeight="1" x14ac:dyDescent="0.35">
      <c r="B10" s="16" t="s">
        <v>16</v>
      </c>
      <c r="C10" s="20" t="s">
        <v>17</v>
      </c>
    </row>
    <row r="11" spans="2:3" s="15" customFormat="1" ht="19.5" customHeight="1" x14ac:dyDescent="0.35">
      <c r="B11" s="17" t="s">
        <v>18</v>
      </c>
      <c r="C11" s="20" t="s">
        <v>19</v>
      </c>
    </row>
    <row r="12" spans="2:3" s="15" customFormat="1" ht="19.5" customHeight="1" x14ac:dyDescent="0.35">
      <c r="B12" s="17" t="s">
        <v>20</v>
      </c>
      <c r="C12" s="20" t="s">
        <v>21</v>
      </c>
    </row>
    <row r="13" spans="2:3" ht="22" customHeight="1" x14ac:dyDescent="0.35">
      <c r="B13" s="16" t="s">
        <v>22</v>
      </c>
      <c r="C13" s="20" t="s">
        <v>23</v>
      </c>
    </row>
    <row r="14" spans="2:3" ht="22" customHeight="1" x14ac:dyDescent="0.35">
      <c r="B14" s="16" t="s">
        <v>24</v>
      </c>
      <c r="C14" s="20" t="s">
        <v>25</v>
      </c>
    </row>
    <row r="15" spans="2:3" ht="22" customHeight="1" x14ac:dyDescent="0.35">
      <c r="B15" s="16" t="s">
        <v>26</v>
      </c>
      <c r="C15" s="20" t="s">
        <v>27</v>
      </c>
    </row>
    <row r="16" spans="2:3" ht="19" customHeight="1" x14ac:dyDescent="0.35"/>
    <row r="19" spans="3:3" x14ac:dyDescent="0.35">
      <c r="C19"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120E0-FF7B-452A-843C-52780AFFD160}">
  <sheetPr codeName="Planilha2"/>
  <dimension ref="A1:O578"/>
  <sheetViews>
    <sheetView tabSelected="1" zoomScale="80" zoomScaleNormal="80" zoomScaleSheetLayoutView="95" workbookViewId="0">
      <pane ySplit="2" topLeftCell="A3" activePane="bottomLeft" state="frozen"/>
      <selection pane="bottomLeft" activeCell="D5" sqref="D5"/>
    </sheetView>
  </sheetViews>
  <sheetFormatPr defaultRowHeight="14.5" x14ac:dyDescent="0.35"/>
  <cols>
    <col min="1" max="1" width="9" style="43" bestFit="1" customWidth="1"/>
    <col min="2" max="2" width="19.453125" style="27" customWidth="1"/>
    <col min="3" max="3" width="39.7265625" style="28" customWidth="1"/>
    <col min="4" max="4" width="64.1796875" style="28" customWidth="1"/>
    <col min="5" max="5" width="50.7265625" style="26" customWidth="1"/>
    <col min="6" max="6" width="42.26953125" style="26" customWidth="1"/>
    <col min="7" max="7" width="103.453125" style="28" customWidth="1"/>
    <col min="8" max="8" width="44.81640625" style="28" customWidth="1"/>
    <col min="9" max="9" width="32.453125" style="26" customWidth="1"/>
    <col min="10" max="10" width="40.26953125" style="34" customWidth="1"/>
    <col min="11" max="11" width="55.7265625" style="45" customWidth="1"/>
    <col min="12" max="12" width="20.7265625" style="45" customWidth="1"/>
    <col min="13" max="13" width="50.453125" style="48" customWidth="1"/>
    <col min="14" max="14" width="57.453125" style="48" customWidth="1"/>
    <col min="15" max="15" width="21.7265625" style="28" customWidth="1"/>
  </cols>
  <sheetData>
    <row r="1" spans="1:15" ht="18.5" x14ac:dyDescent="0.35">
      <c r="A1" s="128" t="s">
        <v>29</v>
      </c>
      <c r="B1" s="128"/>
      <c r="C1" s="128"/>
      <c r="D1" s="128"/>
      <c r="E1" s="128"/>
      <c r="F1" s="128"/>
      <c r="G1" s="128"/>
      <c r="H1" s="128"/>
      <c r="I1" s="128"/>
      <c r="J1" s="128"/>
      <c r="K1" s="128"/>
      <c r="L1" s="129"/>
      <c r="M1" s="127"/>
      <c r="N1" s="127"/>
      <c r="O1" s="127"/>
    </row>
    <row r="2" spans="1:15" ht="16" x14ac:dyDescent="0.35">
      <c r="A2" s="22" t="s">
        <v>30</v>
      </c>
      <c r="B2" s="22" t="s">
        <v>31</v>
      </c>
      <c r="C2" s="22" t="s">
        <v>2</v>
      </c>
      <c r="D2" s="22" t="s">
        <v>4</v>
      </c>
      <c r="E2" s="1" t="s">
        <v>6</v>
      </c>
      <c r="F2" s="1" t="s">
        <v>8</v>
      </c>
      <c r="G2" s="22" t="s">
        <v>10</v>
      </c>
      <c r="H2" s="22" t="s">
        <v>32</v>
      </c>
      <c r="I2" s="1" t="s">
        <v>14</v>
      </c>
      <c r="J2" s="2" t="s">
        <v>16</v>
      </c>
      <c r="K2" s="44" t="s">
        <v>18</v>
      </c>
      <c r="L2" s="44" t="s">
        <v>20</v>
      </c>
      <c r="M2" s="47" t="s">
        <v>22</v>
      </c>
      <c r="N2" s="47" t="s">
        <v>24</v>
      </c>
      <c r="O2" s="46" t="s">
        <v>26</v>
      </c>
    </row>
    <row r="3" spans="1:15" ht="43.5" x14ac:dyDescent="0.35">
      <c r="A3" s="29">
        <v>242</v>
      </c>
      <c r="B3" s="7" t="s">
        <v>33</v>
      </c>
      <c r="C3" s="12" t="s">
        <v>34</v>
      </c>
      <c r="D3" s="12" t="s">
        <v>35</v>
      </c>
      <c r="E3" s="4" t="s">
        <v>36</v>
      </c>
      <c r="F3" s="4" t="s">
        <v>37</v>
      </c>
      <c r="G3" s="12" t="s">
        <v>38</v>
      </c>
      <c r="H3" s="12" t="s">
        <v>39</v>
      </c>
      <c r="I3" s="4" t="s">
        <v>40</v>
      </c>
      <c r="J3" s="6" t="s">
        <v>41</v>
      </c>
      <c r="K3" s="8" t="s">
        <v>42</v>
      </c>
      <c r="L3" s="8" t="s">
        <v>43</v>
      </c>
      <c r="M3" s="25" t="s">
        <v>44</v>
      </c>
      <c r="N3" s="25" t="s">
        <v>45</v>
      </c>
      <c r="O3" s="12" t="s">
        <v>41</v>
      </c>
    </row>
    <row r="4" spans="1:15" ht="43.5" x14ac:dyDescent="0.35">
      <c r="A4" s="29">
        <v>243</v>
      </c>
      <c r="B4" s="7" t="s">
        <v>46</v>
      </c>
      <c r="C4" s="12" t="s">
        <v>34</v>
      </c>
      <c r="D4" s="12" t="s">
        <v>47</v>
      </c>
      <c r="E4" s="4" t="s">
        <v>48</v>
      </c>
      <c r="F4" s="4" t="s">
        <v>49</v>
      </c>
      <c r="G4" s="12" t="s">
        <v>50</v>
      </c>
      <c r="H4" s="12" t="s">
        <v>51</v>
      </c>
      <c r="I4" s="4" t="s">
        <v>40</v>
      </c>
      <c r="J4" s="6" t="s">
        <v>41</v>
      </c>
      <c r="K4" s="8" t="s">
        <v>42</v>
      </c>
      <c r="L4" s="8" t="s">
        <v>43</v>
      </c>
      <c r="M4" s="25" t="s">
        <v>44</v>
      </c>
      <c r="N4" s="25" t="s">
        <v>52</v>
      </c>
      <c r="O4" s="12" t="s">
        <v>41</v>
      </c>
    </row>
    <row r="5" spans="1:15" ht="43.5" x14ac:dyDescent="0.35">
      <c r="A5" s="29">
        <v>490</v>
      </c>
      <c r="B5" s="7" t="s">
        <v>46</v>
      </c>
      <c r="C5" s="12" t="s">
        <v>53</v>
      </c>
      <c r="D5" s="12" t="s">
        <v>54</v>
      </c>
      <c r="E5" s="4" t="s">
        <v>55</v>
      </c>
      <c r="F5" s="4" t="s">
        <v>55</v>
      </c>
      <c r="G5" s="12" t="s">
        <v>56</v>
      </c>
      <c r="H5" s="12" t="s">
        <v>57</v>
      </c>
      <c r="I5" s="4" t="s">
        <v>40</v>
      </c>
      <c r="J5" s="6" t="s">
        <v>41</v>
      </c>
      <c r="K5" s="8" t="s">
        <v>58</v>
      </c>
      <c r="L5" s="8" t="s">
        <v>59</v>
      </c>
      <c r="M5" s="25" t="s">
        <v>60</v>
      </c>
      <c r="N5" s="25" t="s">
        <v>61</v>
      </c>
      <c r="O5" s="12" t="s">
        <v>62</v>
      </c>
    </row>
    <row r="6" spans="1:15" ht="43.5" x14ac:dyDescent="0.35">
      <c r="A6" s="29">
        <v>493</v>
      </c>
      <c r="B6" s="7" t="s">
        <v>46</v>
      </c>
      <c r="C6" s="12" t="s">
        <v>53</v>
      </c>
      <c r="D6" s="12" t="s">
        <v>63</v>
      </c>
      <c r="E6" s="4" t="s">
        <v>64</v>
      </c>
      <c r="F6" s="4" t="s">
        <v>64</v>
      </c>
      <c r="G6" s="12" t="s">
        <v>65</v>
      </c>
      <c r="H6" s="12" t="s">
        <v>57</v>
      </c>
      <c r="I6" s="4" t="s">
        <v>40</v>
      </c>
      <c r="J6" s="6" t="s">
        <v>41</v>
      </c>
      <c r="K6" s="8" t="s">
        <v>66</v>
      </c>
      <c r="L6" s="30" t="s">
        <v>67</v>
      </c>
      <c r="M6" s="25" t="s">
        <v>60</v>
      </c>
      <c r="N6" s="25" t="s">
        <v>68</v>
      </c>
      <c r="O6" s="12" t="s">
        <v>62</v>
      </c>
    </row>
    <row r="7" spans="1:15" ht="43.5" x14ac:dyDescent="0.35">
      <c r="A7" s="29">
        <v>492</v>
      </c>
      <c r="B7" s="7" t="s">
        <v>46</v>
      </c>
      <c r="C7" s="12" t="s">
        <v>53</v>
      </c>
      <c r="D7" s="12" t="s">
        <v>69</v>
      </c>
      <c r="E7" s="4" t="s">
        <v>70</v>
      </c>
      <c r="F7" s="4" t="s">
        <v>70</v>
      </c>
      <c r="G7" s="12" t="s">
        <v>71</v>
      </c>
      <c r="H7" s="12" t="s">
        <v>57</v>
      </c>
      <c r="I7" s="4" t="s">
        <v>40</v>
      </c>
      <c r="J7" s="6" t="s">
        <v>41</v>
      </c>
      <c r="K7" s="8" t="s">
        <v>66</v>
      </c>
      <c r="L7" s="30" t="s">
        <v>67</v>
      </c>
      <c r="M7" s="25" t="s">
        <v>60</v>
      </c>
      <c r="N7" s="25" t="s">
        <v>68</v>
      </c>
      <c r="O7" s="12" t="s">
        <v>62</v>
      </c>
    </row>
    <row r="8" spans="1:15" ht="43.5" x14ac:dyDescent="0.35">
      <c r="A8" s="29">
        <v>491</v>
      </c>
      <c r="B8" s="7" t="s">
        <v>46</v>
      </c>
      <c r="C8" s="12" t="s">
        <v>53</v>
      </c>
      <c r="D8" s="12" t="s">
        <v>72</v>
      </c>
      <c r="E8" s="4" t="s">
        <v>73</v>
      </c>
      <c r="F8" s="4" t="s">
        <v>73</v>
      </c>
      <c r="G8" s="12" t="s">
        <v>74</v>
      </c>
      <c r="H8" s="12" t="s">
        <v>57</v>
      </c>
      <c r="I8" s="4" t="s">
        <v>40</v>
      </c>
      <c r="J8" s="6" t="s">
        <v>41</v>
      </c>
      <c r="K8" s="8" t="s">
        <v>75</v>
      </c>
      <c r="L8" s="30" t="s">
        <v>67</v>
      </c>
      <c r="M8" s="25" t="s">
        <v>60</v>
      </c>
      <c r="N8" s="25" t="s">
        <v>76</v>
      </c>
      <c r="O8" s="12" t="s">
        <v>62</v>
      </c>
    </row>
    <row r="9" spans="1:15" ht="29" x14ac:dyDescent="0.35">
      <c r="A9" s="29">
        <v>165</v>
      </c>
      <c r="B9" s="7" t="s">
        <v>46</v>
      </c>
      <c r="C9" s="12" t="s">
        <v>77</v>
      </c>
      <c r="D9" s="12" t="s">
        <v>78</v>
      </c>
      <c r="E9" s="4" t="s">
        <v>79</v>
      </c>
      <c r="F9" s="4" t="s">
        <v>79</v>
      </c>
      <c r="G9" s="12" t="s">
        <v>80</v>
      </c>
      <c r="H9" s="12" t="s">
        <v>80</v>
      </c>
      <c r="I9" s="4" t="s">
        <v>40</v>
      </c>
      <c r="J9" s="6" t="s">
        <v>41</v>
      </c>
      <c r="K9" s="8" t="s">
        <v>81</v>
      </c>
      <c r="L9" s="8" t="s">
        <v>82</v>
      </c>
      <c r="M9" s="25" t="s">
        <v>83</v>
      </c>
      <c r="N9" s="25" t="s">
        <v>84</v>
      </c>
      <c r="O9" s="12" t="s">
        <v>41</v>
      </c>
    </row>
    <row r="10" spans="1:15" ht="43.5" x14ac:dyDescent="0.35">
      <c r="A10" s="29">
        <v>247</v>
      </c>
      <c r="B10" s="7" t="s">
        <v>46</v>
      </c>
      <c r="C10" s="12" t="s">
        <v>53</v>
      </c>
      <c r="D10" s="12" t="s">
        <v>85</v>
      </c>
      <c r="E10" s="4" t="s">
        <v>86</v>
      </c>
      <c r="F10" s="4" t="s">
        <v>87</v>
      </c>
      <c r="G10" s="12" t="s">
        <v>88</v>
      </c>
      <c r="H10" s="12" t="s">
        <v>89</v>
      </c>
      <c r="I10" s="4" t="s">
        <v>40</v>
      </c>
      <c r="J10" s="6" t="s">
        <v>41</v>
      </c>
      <c r="K10" s="8" t="s">
        <v>90</v>
      </c>
      <c r="L10" s="8" t="s">
        <v>82</v>
      </c>
      <c r="M10" s="25" t="s">
        <v>91</v>
      </c>
      <c r="N10" s="25" t="s">
        <v>92</v>
      </c>
      <c r="O10" s="12" t="s">
        <v>41</v>
      </c>
    </row>
    <row r="11" spans="1:15" ht="43.5" x14ac:dyDescent="0.35">
      <c r="A11" s="29">
        <v>80</v>
      </c>
      <c r="B11" s="7" t="s">
        <v>46</v>
      </c>
      <c r="C11" s="12" t="s">
        <v>53</v>
      </c>
      <c r="D11" s="12" t="s">
        <v>93</v>
      </c>
      <c r="E11" s="4" t="s">
        <v>94</v>
      </c>
      <c r="F11" s="4" t="s">
        <v>94</v>
      </c>
      <c r="G11" s="12" t="s">
        <v>95</v>
      </c>
      <c r="H11" s="12" t="s">
        <v>95</v>
      </c>
      <c r="I11" s="4" t="s">
        <v>40</v>
      </c>
      <c r="J11" s="6" t="s">
        <v>41</v>
      </c>
      <c r="K11" s="8" t="s">
        <v>96</v>
      </c>
      <c r="L11" s="8" t="s">
        <v>59</v>
      </c>
      <c r="M11" s="25" t="s">
        <v>97</v>
      </c>
      <c r="N11" s="25" t="s">
        <v>98</v>
      </c>
      <c r="O11" s="12" t="s">
        <v>41</v>
      </c>
    </row>
    <row r="12" spans="1:15" ht="29" x14ac:dyDescent="0.35">
      <c r="A12" s="29">
        <v>4396</v>
      </c>
      <c r="B12" s="7" t="s">
        <v>46</v>
      </c>
      <c r="C12" s="12" t="s">
        <v>53</v>
      </c>
      <c r="D12" s="12" t="s">
        <v>99</v>
      </c>
      <c r="E12" s="4" t="s">
        <v>100</v>
      </c>
      <c r="F12" s="4" t="s">
        <v>100</v>
      </c>
      <c r="G12" s="12" t="s">
        <v>101</v>
      </c>
      <c r="H12" s="12" t="s">
        <v>101</v>
      </c>
      <c r="I12" s="4" t="s">
        <v>40</v>
      </c>
      <c r="J12" s="6" t="s">
        <v>41</v>
      </c>
      <c r="K12" s="8" t="s">
        <v>102</v>
      </c>
      <c r="L12" s="8" t="s">
        <v>103</v>
      </c>
      <c r="M12" s="25" t="s">
        <v>104</v>
      </c>
      <c r="N12" s="25" t="s">
        <v>41</v>
      </c>
      <c r="O12" s="12" t="s">
        <v>105</v>
      </c>
    </row>
    <row r="13" spans="1:15" x14ac:dyDescent="0.35">
      <c r="A13" s="29">
        <v>69</v>
      </c>
      <c r="B13" s="7" t="s">
        <v>46</v>
      </c>
      <c r="C13" s="12" t="s">
        <v>53</v>
      </c>
      <c r="D13" s="12" t="s">
        <v>106</v>
      </c>
      <c r="E13" s="4" t="s">
        <v>107</v>
      </c>
      <c r="F13" s="4" t="s">
        <v>108</v>
      </c>
      <c r="G13" s="12" t="s">
        <v>109</v>
      </c>
      <c r="H13" s="12" t="s">
        <v>110</v>
      </c>
      <c r="I13" s="4" t="s">
        <v>40</v>
      </c>
      <c r="J13" s="6" t="s">
        <v>41</v>
      </c>
      <c r="K13" s="8" t="s">
        <v>111</v>
      </c>
      <c r="L13" s="8" t="s">
        <v>103</v>
      </c>
      <c r="M13" s="25" t="s">
        <v>112</v>
      </c>
      <c r="N13" s="25" t="s">
        <v>113</v>
      </c>
      <c r="O13" s="12" t="s">
        <v>114</v>
      </c>
    </row>
    <row r="14" spans="1:15" ht="43.5" x14ac:dyDescent="0.35">
      <c r="A14" s="29">
        <v>84</v>
      </c>
      <c r="B14" s="7" t="s">
        <v>46</v>
      </c>
      <c r="C14" s="12" t="s">
        <v>53</v>
      </c>
      <c r="D14" s="12" t="s">
        <v>115</v>
      </c>
      <c r="E14" s="4" t="s">
        <v>116</v>
      </c>
      <c r="F14" s="4" t="s">
        <v>117</v>
      </c>
      <c r="G14" s="12" t="s">
        <v>118</v>
      </c>
      <c r="H14" s="12" t="s">
        <v>119</v>
      </c>
      <c r="I14" s="4" t="s">
        <v>40</v>
      </c>
      <c r="J14" s="6" t="s">
        <v>41</v>
      </c>
      <c r="K14" s="8" t="s">
        <v>120</v>
      </c>
      <c r="L14" s="8" t="s">
        <v>103</v>
      </c>
      <c r="M14" s="25" t="s">
        <v>121</v>
      </c>
      <c r="N14" s="25" t="s">
        <v>122</v>
      </c>
      <c r="O14" s="12" t="s">
        <v>41</v>
      </c>
    </row>
    <row r="15" spans="1:15" ht="43.5" x14ac:dyDescent="0.35">
      <c r="A15" s="29">
        <v>525</v>
      </c>
      <c r="B15" s="7" t="s">
        <v>46</v>
      </c>
      <c r="C15" s="12" t="s">
        <v>53</v>
      </c>
      <c r="D15" s="12" t="s">
        <v>123</v>
      </c>
      <c r="E15" s="4" t="s">
        <v>124</v>
      </c>
      <c r="F15" s="4" t="s">
        <v>124</v>
      </c>
      <c r="G15" s="12" t="s">
        <v>125</v>
      </c>
      <c r="H15" s="12" t="s">
        <v>126</v>
      </c>
      <c r="I15" s="4" t="s">
        <v>40</v>
      </c>
      <c r="J15" s="6" t="s">
        <v>41</v>
      </c>
      <c r="K15" s="8" t="s">
        <v>127</v>
      </c>
      <c r="L15" s="8" t="s">
        <v>59</v>
      </c>
      <c r="M15" s="25" t="s">
        <v>128</v>
      </c>
      <c r="N15" s="25" t="s">
        <v>129</v>
      </c>
      <c r="O15" s="12" t="s">
        <v>41</v>
      </c>
    </row>
    <row r="16" spans="1:15" ht="43.5" x14ac:dyDescent="0.35">
      <c r="A16" s="29" t="s">
        <v>41</v>
      </c>
      <c r="B16" s="7" t="s">
        <v>33</v>
      </c>
      <c r="C16" s="12" t="s">
        <v>53</v>
      </c>
      <c r="D16" s="12" t="s">
        <v>130</v>
      </c>
      <c r="E16" s="4" t="s">
        <v>131</v>
      </c>
      <c r="F16" s="4" t="s">
        <v>131</v>
      </c>
      <c r="G16" s="12" t="s">
        <v>132</v>
      </c>
      <c r="H16" s="12" t="s">
        <v>133</v>
      </c>
      <c r="I16" s="4" t="s">
        <v>40</v>
      </c>
      <c r="J16" s="6" t="s">
        <v>41</v>
      </c>
      <c r="K16" s="8" t="s">
        <v>134</v>
      </c>
      <c r="L16" s="30" t="s">
        <v>135</v>
      </c>
      <c r="M16" s="25" t="s">
        <v>136</v>
      </c>
      <c r="N16" s="25" t="s">
        <v>136</v>
      </c>
      <c r="O16" s="12" t="s">
        <v>41</v>
      </c>
    </row>
    <row r="17" spans="1:15" ht="43.5" x14ac:dyDescent="0.35">
      <c r="A17" s="29">
        <v>109</v>
      </c>
      <c r="B17" s="7" t="s">
        <v>46</v>
      </c>
      <c r="C17" s="12" t="s">
        <v>53</v>
      </c>
      <c r="D17" s="12" t="s">
        <v>137</v>
      </c>
      <c r="E17" s="4" t="s">
        <v>138</v>
      </c>
      <c r="F17" s="4" t="s">
        <v>139</v>
      </c>
      <c r="G17" s="12" t="s">
        <v>140</v>
      </c>
      <c r="H17" s="12" t="s">
        <v>141</v>
      </c>
      <c r="I17" s="4" t="s">
        <v>40</v>
      </c>
      <c r="J17" s="6" t="s">
        <v>41</v>
      </c>
      <c r="K17" s="8" t="s">
        <v>142</v>
      </c>
      <c r="L17" s="8" t="s">
        <v>82</v>
      </c>
      <c r="M17" s="25" t="s">
        <v>91</v>
      </c>
      <c r="N17" s="25" t="s">
        <v>143</v>
      </c>
      <c r="O17" s="12" t="s">
        <v>41</v>
      </c>
    </row>
    <row r="18" spans="1:15" ht="43.5" x14ac:dyDescent="0.35">
      <c r="A18" s="29">
        <v>161</v>
      </c>
      <c r="B18" s="7" t="s">
        <v>46</v>
      </c>
      <c r="C18" s="12" t="s">
        <v>53</v>
      </c>
      <c r="D18" s="12" t="s">
        <v>144</v>
      </c>
      <c r="E18" s="4" t="s">
        <v>145</v>
      </c>
      <c r="F18" s="4" t="s">
        <v>145</v>
      </c>
      <c r="G18" s="12" t="s">
        <v>146</v>
      </c>
      <c r="H18" s="12" t="s">
        <v>147</v>
      </c>
      <c r="I18" s="4" t="s">
        <v>40</v>
      </c>
      <c r="J18" s="6" t="s">
        <v>41</v>
      </c>
      <c r="K18" s="8" t="s">
        <v>148</v>
      </c>
      <c r="L18" s="8" t="s">
        <v>82</v>
      </c>
      <c r="M18" s="25" t="s">
        <v>149</v>
      </c>
      <c r="N18" s="25" t="s">
        <v>150</v>
      </c>
      <c r="O18" s="12" t="s">
        <v>41</v>
      </c>
    </row>
    <row r="19" spans="1:15" ht="43.5" x14ac:dyDescent="0.35">
      <c r="A19" s="29">
        <v>240</v>
      </c>
      <c r="B19" s="7" t="s">
        <v>46</v>
      </c>
      <c r="C19" s="12" t="s">
        <v>53</v>
      </c>
      <c r="D19" s="12" t="s">
        <v>151</v>
      </c>
      <c r="E19" s="4" t="s">
        <v>152</v>
      </c>
      <c r="F19" s="4" t="s">
        <v>153</v>
      </c>
      <c r="G19" s="12" t="s">
        <v>154</v>
      </c>
      <c r="H19" s="12" t="s">
        <v>155</v>
      </c>
      <c r="I19" s="4" t="s">
        <v>40</v>
      </c>
      <c r="J19" s="6" t="s">
        <v>41</v>
      </c>
      <c r="K19" s="8" t="s">
        <v>156</v>
      </c>
      <c r="L19" s="8" t="s">
        <v>82</v>
      </c>
      <c r="M19" s="25" t="s">
        <v>91</v>
      </c>
      <c r="N19" s="25" t="s">
        <v>157</v>
      </c>
      <c r="O19" s="12" t="s">
        <v>41</v>
      </c>
    </row>
    <row r="20" spans="1:15" x14ac:dyDescent="0.35">
      <c r="A20" s="29">
        <v>92</v>
      </c>
      <c r="B20" s="7" t="s">
        <v>46</v>
      </c>
      <c r="C20" s="12" t="s">
        <v>53</v>
      </c>
      <c r="D20" s="12" t="s">
        <v>158</v>
      </c>
      <c r="E20" s="4" t="s">
        <v>159</v>
      </c>
      <c r="F20" s="4" t="s">
        <v>160</v>
      </c>
      <c r="G20" s="12" t="s">
        <v>161</v>
      </c>
      <c r="H20" s="12" t="s">
        <v>162</v>
      </c>
      <c r="I20" s="4" t="s">
        <v>40</v>
      </c>
      <c r="J20" s="6" t="s">
        <v>41</v>
      </c>
      <c r="K20" s="8" t="s">
        <v>111</v>
      </c>
      <c r="L20" s="8" t="s">
        <v>103</v>
      </c>
      <c r="M20" s="25" t="s">
        <v>163</v>
      </c>
      <c r="N20" s="25" t="s">
        <v>41</v>
      </c>
      <c r="O20" s="12" t="s">
        <v>164</v>
      </c>
    </row>
    <row r="21" spans="1:15" ht="43.5" x14ac:dyDescent="0.35">
      <c r="A21" s="29">
        <v>249</v>
      </c>
      <c r="B21" s="7" t="s">
        <v>46</v>
      </c>
      <c r="C21" s="12" t="s">
        <v>53</v>
      </c>
      <c r="D21" s="12" t="s">
        <v>165</v>
      </c>
      <c r="E21" s="4" t="s">
        <v>166</v>
      </c>
      <c r="F21" s="4" t="s">
        <v>167</v>
      </c>
      <c r="G21" s="12" t="s">
        <v>168</v>
      </c>
      <c r="H21" s="12" t="s">
        <v>89</v>
      </c>
      <c r="I21" s="4" t="s">
        <v>40</v>
      </c>
      <c r="J21" s="6" t="s">
        <v>41</v>
      </c>
      <c r="K21" s="8" t="s">
        <v>169</v>
      </c>
      <c r="L21" s="8" t="s">
        <v>82</v>
      </c>
      <c r="M21" s="25" t="s">
        <v>91</v>
      </c>
      <c r="N21" s="25" t="s">
        <v>170</v>
      </c>
      <c r="O21" s="12" t="s">
        <v>41</v>
      </c>
    </row>
    <row r="22" spans="1:15" ht="43.5" x14ac:dyDescent="0.35">
      <c r="A22" s="29">
        <v>250</v>
      </c>
      <c r="B22" s="7" t="s">
        <v>46</v>
      </c>
      <c r="C22" s="12" t="s">
        <v>53</v>
      </c>
      <c r="D22" s="12" t="s">
        <v>171</v>
      </c>
      <c r="E22" s="4" t="s">
        <v>172</v>
      </c>
      <c r="F22" s="4" t="s">
        <v>173</v>
      </c>
      <c r="G22" s="12" t="s">
        <v>174</v>
      </c>
      <c r="H22" s="12" t="s">
        <v>89</v>
      </c>
      <c r="I22" s="4" t="s">
        <v>40</v>
      </c>
      <c r="J22" s="6" t="s">
        <v>41</v>
      </c>
      <c r="K22" s="8" t="s">
        <v>169</v>
      </c>
      <c r="L22" s="8" t="s">
        <v>82</v>
      </c>
      <c r="M22" s="25" t="s">
        <v>91</v>
      </c>
      <c r="N22" s="25" t="s">
        <v>175</v>
      </c>
      <c r="O22" s="12" t="s">
        <v>41</v>
      </c>
    </row>
    <row r="23" spans="1:15" x14ac:dyDescent="0.35">
      <c r="A23" s="29">
        <v>88</v>
      </c>
      <c r="B23" s="7" t="s">
        <v>46</v>
      </c>
      <c r="C23" s="12" t="s">
        <v>176</v>
      </c>
      <c r="D23" s="12" t="s">
        <v>177</v>
      </c>
      <c r="E23" s="4" t="s">
        <v>178</v>
      </c>
      <c r="F23" s="4" t="s">
        <v>179</v>
      </c>
      <c r="G23" s="12" t="s">
        <v>180</v>
      </c>
      <c r="H23" s="12" t="s">
        <v>181</v>
      </c>
      <c r="I23" s="4" t="s">
        <v>40</v>
      </c>
      <c r="J23" s="6" t="s">
        <v>41</v>
      </c>
      <c r="K23" s="8" t="s">
        <v>111</v>
      </c>
      <c r="L23" s="8" t="s">
        <v>103</v>
      </c>
      <c r="M23" s="25" t="s">
        <v>182</v>
      </c>
      <c r="N23" s="25" t="s">
        <v>183</v>
      </c>
      <c r="O23" s="12" t="s">
        <v>41</v>
      </c>
    </row>
    <row r="24" spans="1:15" ht="43.5" x14ac:dyDescent="0.35">
      <c r="A24" s="29">
        <v>201</v>
      </c>
      <c r="B24" s="7" t="s">
        <v>46</v>
      </c>
      <c r="C24" s="12" t="s">
        <v>176</v>
      </c>
      <c r="D24" s="12" t="s">
        <v>184</v>
      </c>
      <c r="E24" s="4" t="s">
        <v>185</v>
      </c>
      <c r="F24" s="4" t="s">
        <v>186</v>
      </c>
      <c r="G24" s="12" t="s">
        <v>187</v>
      </c>
      <c r="H24" s="12" t="s">
        <v>188</v>
      </c>
      <c r="I24" s="4" t="s">
        <v>40</v>
      </c>
      <c r="J24" s="6" t="s">
        <v>41</v>
      </c>
      <c r="K24" s="5" t="s">
        <v>189</v>
      </c>
      <c r="L24" s="8" t="s">
        <v>67</v>
      </c>
      <c r="M24" s="25" t="s">
        <v>182</v>
      </c>
      <c r="N24" s="25" t="s">
        <v>183</v>
      </c>
      <c r="O24" s="12" t="s">
        <v>41</v>
      </c>
    </row>
    <row r="25" spans="1:15" ht="43.5" x14ac:dyDescent="0.35">
      <c r="A25" s="29">
        <v>55</v>
      </c>
      <c r="B25" s="7" t="s">
        <v>46</v>
      </c>
      <c r="C25" s="12" t="s">
        <v>176</v>
      </c>
      <c r="D25" s="12" t="s">
        <v>190</v>
      </c>
      <c r="E25" s="4" t="s">
        <v>191</v>
      </c>
      <c r="F25" s="4" t="s">
        <v>192</v>
      </c>
      <c r="G25" s="12" t="s">
        <v>193</v>
      </c>
      <c r="H25" s="12" t="s">
        <v>194</v>
      </c>
      <c r="I25" s="4" t="s">
        <v>40</v>
      </c>
      <c r="J25" s="6" t="s">
        <v>41</v>
      </c>
      <c r="K25" s="5" t="s">
        <v>195</v>
      </c>
      <c r="L25" s="8" t="s">
        <v>67</v>
      </c>
      <c r="M25" s="25" t="s">
        <v>196</v>
      </c>
      <c r="N25" s="25" t="s">
        <v>197</v>
      </c>
      <c r="O25" s="12" t="s">
        <v>41</v>
      </c>
    </row>
    <row r="26" spans="1:15" ht="43.5" x14ac:dyDescent="0.35">
      <c r="A26" s="29">
        <v>179</v>
      </c>
      <c r="B26" s="7" t="s">
        <v>46</v>
      </c>
      <c r="C26" s="12" t="s">
        <v>176</v>
      </c>
      <c r="D26" s="12" t="s">
        <v>198</v>
      </c>
      <c r="E26" s="4" t="s">
        <v>199</v>
      </c>
      <c r="F26" s="4" t="s">
        <v>200</v>
      </c>
      <c r="G26" s="12" t="s">
        <v>201</v>
      </c>
      <c r="H26" s="12" t="s">
        <v>202</v>
      </c>
      <c r="I26" s="4" t="s">
        <v>40</v>
      </c>
      <c r="J26" s="6" t="s">
        <v>41</v>
      </c>
      <c r="K26" s="5" t="s">
        <v>203</v>
      </c>
      <c r="L26" s="8" t="s">
        <v>67</v>
      </c>
      <c r="M26" s="25" t="s">
        <v>196</v>
      </c>
      <c r="N26" s="25" t="s">
        <v>204</v>
      </c>
      <c r="O26" s="12" t="s">
        <v>41</v>
      </c>
    </row>
    <row r="27" spans="1:15" ht="43.5" x14ac:dyDescent="0.35">
      <c r="A27" s="29">
        <v>131</v>
      </c>
      <c r="B27" s="7" t="s">
        <v>46</v>
      </c>
      <c r="C27" s="12" t="s">
        <v>176</v>
      </c>
      <c r="D27" s="12" t="s">
        <v>205</v>
      </c>
      <c r="E27" s="4" t="s">
        <v>206</v>
      </c>
      <c r="F27" s="4" t="s">
        <v>207</v>
      </c>
      <c r="G27" s="12" t="s">
        <v>208</v>
      </c>
      <c r="H27" s="12" t="s">
        <v>209</v>
      </c>
      <c r="I27" s="4" t="s">
        <v>40</v>
      </c>
      <c r="J27" s="6" t="s">
        <v>41</v>
      </c>
      <c r="K27" s="8" t="s">
        <v>210</v>
      </c>
      <c r="L27" s="8" t="s">
        <v>43</v>
      </c>
      <c r="M27" s="25" t="s">
        <v>196</v>
      </c>
      <c r="N27" s="25" t="s">
        <v>211</v>
      </c>
      <c r="O27" s="12" t="s">
        <v>41</v>
      </c>
    </row>
    <row r="28" spans="1:15" ht="43.5" x14ac:dyDescent="0.35">
      <c r="A28" s="29">
        <v>130</v>
      </c>
      <c r="B28" s="7" t="s">
        <v>46</v>
      </c>
      <c r="C28" s="12" t="s">
        <v>176</v>
      </c>
      <c r="D28" s="12" t="s">
        <v>212</v>
      </c>
      <c r="E28" s="4" t="s">
        <v>213</v>
      </c>
      <c r="F28" s="4" t="s">
        <v>214</v>
      </c>
      <c r="G28" s="12" t="s">
        <v>215</v>
      </c>
      <c r="H28" s="12" t="s">
        <v>216</v>
      </c>
      <c r="I28" s="4" t="s">
        <v>40</v>
      </c>
      <c r="J28" s="6" t="s">
        <v>41</v>
      </c>
      <c r="K28" s="8" t="s">
        <v>210</v>
      </c>
      <c r="L28" s="8" t="s">
        <v>43</v>
      </c>
      <c r="M28" s="25" t="s">
        <v>196</v>
      </c>
      <c r="N28" s="25" t="s">
        <v>217</v>
      </c>
      <c r="O28" s="12" t="s">
        <v>41</v>
      </c>
    </row>
    <row r="29" spans="1:15" ht="43.5" x14ac:dyDescent="0.35">
      <c r="A29" s="29">
        <v>180</v>
      </c>
      <c r="B29" s="7" t="s">
        <v>46</v>
      </c>
      <c r="C29" s="12" t="s">
        <v>176</v>
      </c>
      <c r="D29" s="12" t="s">
        <v>218</v>
      </c>
      <c r="E29" s="4" t="s">
        <v>219</v>
      </c>
      <c r="F29" s="4" t="s">
        <v>220</v>
      </c>
      <c r="G29" s="12" t="s">
        <v>221</v>
      </c>
      <c r="H29" s="12" t="s">
        <v>221</v>
      </c>
      <c r="I29" s="4" t="s">
        <v>40</v>
      </c>
      <c r="J29" s="6" t="s">
        <v>41</v>
      </c>
      <c r="K29" s="8" t="s">
        <v>222</v>
      </c>
      <c r="L29" s="8" t="s">
        <v>67</v>
      </c>
      <c r="M29" s="25" t="s">
        <v>196</v>
      </c>
      <c r="N29" s="25" t="s">
        <v>223</v>
      </c>
      <c r="O29" s="12" t="s">
        <v>41</v>
      </c>
    </row>
    <row r="30" spans="1:15" x14ac:dyDescent="0.35">
      <c r="A30" s="29">
        <v>75</v>
      </c>
      <c r="B30" s="7" t="s">
        <v>46</v>
      </c>
      <c r="C30" s="12" t="s">
        <v>34</v>
      </c>
      <c r="D30" s="12" t="s">
        <v>224</v>
      </c>
      <c r="E30" s="4" t="s">
        <v>225</v>
      </c>
      <c r="F30" s="4" t="s">
        <v>226</v>
      </c>
      <c r="G30" s="12" t="s">
        <v>227</v>
      </c>
      <c r="H30" s="12" t="s">
        <v>228</v>
      </c>
      <c r="I30" s="4" t="s">
        <v>40</v>
      </c>
      <c r="J30" s="6" t="s">
        <v>41</v>
      </c>
      <c r="K30" s="8" t="s">
        <v>111</v>
      </c>
      <c r="L30" s="8" t="s">
        <v>103</v>
      </c>
      <c r="M30" s="25" t="s">
        <v>229</v>
      </c>
      <c r="N30" s="25" t="s">
        <v>230</v>
      </c>
      <c r="O30" s="12" t="s">
        <v>231</v>
      </c>
    </row>
    <row r="31" spans="1:15" ht="29" x14ac:dyDescent="0.35">
      <c r="A31" s="29">
        <v>434</v>
      </c>
      <c r="B31" s="7" t="s">
        <v>46</v>
      </c>
      <c r="C31" s="12" t="s">
        <v>34</v>
      </c>
      <c r="D31" s="12" t="s">
        <v>232</v>
      </c>
      <c r="E31" s="4" t="s">
        <v>233</v>
      </c>
      <c r="F31" s="4" t="s">
        <v>233</v>
      </c>
      <c r="G31" s="12" t="s">
        <v>234</v>
      </c>
      <c r="H31" s="12" t="s">
        <v>235</v>
      </c>
      <c r="I31" s="4" t="s">
        <v>40</v>
      </c>
      <c r="J31" s="6" t="s">
        <v>41</v>
      </c>
      <c r="K31" s="8" t="s">
        <v>102</v>
      </c>
      <c r="L31" s="8" t="s">
        <v>103</v>
      </c>
      <c r="M31" s="25" t="s">
        <v>236</v>
      </c>
      <c r="N31" s="25" t="s">
        <v>237</v>
      </c>
      <c r="O31" s="12" t="s">
        <v>41</v>
      </c>
    </row>
    <row r="32" spans="1:15" x14ac:dyDescent="0.35">
      <c r="A32" s="29">
        <v>312</v>
      </c>
      <c r="B32" s="7" t="s">
        <v>46</v>
      </c>
      <c r="C32" s="12" t="s">
        <v>34</v>
      </c>
      <c r="D32" s="12" t="s">
        <v>238</v>
      </c>
      <c r="E32" s="4" t="s">
        <v>239</v>
      </c>
      <c r="F32" s="4" t="s">
        <v>240</v>
      </c>
      <c r="G32" s="12" t="s">
        <v>241</v>
      </c>
      <c r="H32" s="12" t="s">
        <v>242</v>
      </c>
      <c r="I32" s="4" t="s">
        <v>40</v>
      </c>
      <c r="J32" s="6" t="s">
        <v>41</v>
      </c>
      <c r="K32" s="8" t="s">
        <v>111</v>
      </c>
      <c r="L32" s="8" t="s">
        <v>103</v>
      </c>
      <c r="M32" s="25" t="s">
        <v>243</v>
      </c>
      <c r="N32" s="25" t="s">
        <v>244</v>
      </c>
      <c r="O32" s="12" t="s">
        <v>245</v>
      </c>
    </row>
    <row r="33" spans="1:15" ht="43.5" x14ac:dyDescent="0.35">
      <c r="A33" s="29">
        <v>91</v>
      </c>
      <c r="B33" s="7" t="s">
        <v>46</v>
      </c>
      <c r="C33" s="12" t="s">
        <v>34</v>
      </c>
      <c r="D33" s="12" t="s">
        <v>246</v>
      </c>
      <c r="E33" s="4" t="s">
        <v>247</v>
      </c>
      <c r="F33" s="4" t="s">
        <v>248</v>
      </c>
      <c r="G33" s="12" t="s">
        <v>249</v>
      </c>
      <c r="H33" s="12" t="s">
        <v>250</v>
      </c>
      <c r="I33" s="4" t="s">
        <v>40</v>
      </c>
      <c r="J33" s="6" t="s">
        <v>41</v>
      </c>
      <c r="K33" s="8" t="s">
        <v>251</v>
      </c>
      <c r="L33" s="8" t="s">
        <v>103</v>
      </c>
      <c r="M33" s="25" t="s">
        <v>229</v>
      </c>
      <c r="N33" s="25" t="s">
        <v>252</v>
      </c>
      <c r="O33" s="12" t="s">
        <v>41</v>
      </c>
    </row>
    <row r="34" spans="1:15" ht="29" x14ac:dyDescent="0.35">
      <c r="A34" s="29">
        <v>435</v>
      </c>
      <c r="B34" s="7" t="s">
        <v>46</v>
      </c>
      <c r="C34" s="12" t="s">
        <v>34</v>
      </c>
      <c r="D34" s="12" t="s">
        <v>253</v>
      </c>
      <c r="E34" s="4" t="s">
        <v>254</v>
      </c>
      <c r="F34" s="4" t="s">
        <v>254</v>
      </c>
      <c r="G34" s="12" t="s">
        <v>255</v>
      </c>
      <c r="H34" s="12" t="s">
        <v>255</v>
      </c>
      <c r="I34" s="4" t="s">
        <v>40</v>
      </c>
      <c r="J34" s="6" t="s">
        <v>41</v>
      </c>
      <c r="K34" s="8" t="s">
        <v>102</v>
      </c>
      <c r="L34" s="8" t="s">
        <v>103</v>
      </c>
      <c r="M34" s="25" t="s">
        <v>236</v>
      </c>
      <c r="N34" s="25" t="s">
        <v>256</v>
      </c>
      <c r="O34" s="12" t="s">
        <v>41</v>
      </c>
    </row>
    <row r="35" spans="1:15" ht="43.5" x14ac:dyDescent="0.35">
      <c r="A35" s="29">
        <v>175</v>
      </c>
      <c r="B35" s="7" t="s">
        <v>46</v>
      </c>
      <c r="C35" s="12" t="s">
        <v>34</v>
      </c>
      <c r="D35" s="12" t="s">
        <v>257</v>
      </c>
      <c r="E35" s="4" t="s">
        <v>258</v>
      </c>
      <c r="F35" s="4" t="s">
        <v>259</v>
      </c>
      <c r="G35" s="12" t="s">
        <v>260</v>
      </c>
      <c r="H35" s="12" t="s">
        <v>261</v>
      </c>
      <c r="I35" s="4" t="s">
        <v>40</v>
      </c>
      <c r="J35" s="6" t="s">
        <v>41</v>
      </c>
      <c r="K35" s="8" t="s">
        <v>262</v>
      </c>
      <c r="L35" s="8" t="s">
        <v>67</v>
      </c>
      <c r="M35" s="25" t="s">
        <v>263</v>
      </c>
      <c r="N35" s="25" t="s">
        <v>264</v>
      </c>
      <c r="O35" s="12" t="s">
        <v>41</v>
      </c>
    </row>
    <row r="36" spans="1:15" ht="43.5" x14ac:dyDescent="0.35">
      <c r="A36" s="29">
        <v>244</v>
      </c>
      <c r="B36" s="7" t="s">
        <v>46</v>
      </c>
      <c r="C36" s="12" t="s">
        <v>34</v>
      </c>
      <c r="D36" s="12" t="s">
        <v>265</v>
      </c>
      <c r="E36" s="4" t="s">
        <v>266</v>
      </c>
      <c r="F36" s="4" t="s">
        <v>267</v>
      </c>
      <c r="G36" s="12" t="s">
        <v>268</v>
      </c>
      <c r="H36" s="12" t="s">
        <v>269</v>
      </c>
      <c r="I36" s="4" t="s">
        <v>40</v>
      </c>
      <c r="J36" s="6" t="s">
        <v>41</v>
      </c>
      <c r="K36" s="8" t="s">
        <v>270</v>
      </c>
      <c r="L36" s="8" t="s">
        <v>43</v>
      </c>
      <c r="M36" s="25" t="s">
        <v>263</v>
      </c>
      <c r="N36" s="25" t="s">
        <v>271</v>
      </c>
      <c r="O36" s="12" t="s">
        <v>41</v>
      </c>
    </row>
    <row r="37" spans="1:15" ht="43.5" x14ac:dyDescent="0.35">
      <c r="A37" s="29">
        <v>200</v>
      </c>
      <c r="B37" s="7" t="s">
        <v>46</v>
      </c>
      <c r="C37" s="12" t="s">
        <v>34</v>
      </c>
      <c r="D37" s="12" t="s">
        <v>272</v>
      </c>
      <c r="E37" s="4" t="s">
        <v>273</v>
      </c>
      <c r="F37" s="4" t="s">
        <v>273</v>
      </c>
      <c r="G37" s="12" t="s">
        <v>274</v>
      </c>
      <c r="H37" s="12" t="s">
        <v>275</v>
      </c>
      <c r="I37" s="4" t="s">
        <v>40</v>
      </c>
      <c r="J37" s="6" t="s">
        <v>41</v>
      </c>
      <c r="K37" s="8" t="s">
        <v>276</v>
      </c>
      <c r="L37" s="8" t="s">
        <v>67</v>
      </c>
      <c r="M37" s="25" t="s">
        <v>277</v>
      </c>
      <c r="N37" s="25" t="s">
        <v>278</v>
      </c>
      <c r="O37" s="12" t="s">
        <v>41</v>
      </c>
    </row>
    <row r="38" spans="1:15" x14ac:dyDescent="0.35">
      <c r="A38" s="29">
        <v>89</v>
      </c>
      <c r="B38" s="7" t="s">
        <v>46</v>
      </c>
      <c r="C38" s="12" t="s">
        <v>34</v>
      </c>
      <c r="D38" s="12" t="s">
        <v>279</v>
      </c>
      <c r="E38" s="4" t="s">
        <v>280</v>
      </c>
      <c r="F38" s="4" t="s">
        <v>280</v>
      </c>
      <c r="G38" s="12" t="s">
        <v>281</v>
      </c>
      <c r="H38" s="12" t="s">
        <v>282</v>
      </c>
      <c r="I38" s="4" t="s">
        <v>40</v>
      </c>
      <c r="J38" s="6" t="s">
        <v>41</v>
      </c>
      <c r="K38" s="8" t="s">
        <v>111</v>
      </c>
      <c r="L38" s="8" t="s">
        <v>103</v>
      </c>
      <c r="M38" s="25" t="s">
        <v>243</v>
      </c>
      <c r="N38" s="25" t="s">
        <v>283</v>
      </c>
      <c r="O38" s="12" t="s">
        <v>41</v>
      </c>
    </row>
    <row r="39" spans="1:15" ht="43.5" x14ac:dyDescent="0.35">
      <c r="A39" s="29">
        <v>232</v>
      </c>
      <c r="B39" s="7" t="s">
        <v>46</v>
      </c>
      <c r="C39" s="12" t="s">
        <v>34</v>
      </c>
      <c r="D39" s="12" t="s">
        <v>284</v>
      </c>
      <c r="E39" s="4" t="s">
        <v>285</v>
      </c>
      <c r="F39" s="4" t="s">
        <v>285</v>
      </c>
      <c r="G39" s="12" t="s">
        <v>286</v>
      </c>
      <c r="H39" s="12" t="s">
        <v>287</v>
      </c>
      <c r="I39" s="4" t="s">
        <v>40</v>
      </c>
      <c r="J39" s="6" t="s">
        <v>41</v>
      </c>
      <c r="K39" s="8" t="s">
        <v>288</v>
      </c>
      <c r="L39" s="8" t="s">
        <v>43</v>
      </c>
      <c r="M39" s="25" t="s">
        <v>289</v>
      </c>
      <c r="N39" s="25" t="s">
        <v>290</v>
      </c>
      <c r="O39" s="12" t="s">
        <v>41</v>
      </c>
    </row>
    <row r="40" spans="1:15" x14ac:dyDescent="0.35">
      <c r="A40" s="29">
        <v>108</v>
      </c>
      <c r="B40" s="7" t="s">
        <v>46</v>
      </c>
      <c r="C40" s="12" t="s">
        <v>34</v>
      </c>
      <c r="D40" s="12" t="s">
        <v>291</v>
      </c>
      <c r="E40" s="4" t="s">
        <v>292</v>
      </c>
      <c r="F40" s="4" t="s">
        <v>293</v>
      </c>
      <c r="G40" s="12" t="s">
        <v>294</v>
      </c>
      <c r="H40" s="12" t="s">
        <v>295</v>
      </c>
      <c r="I40" s="4" t="s">
        <v>40</v>
      </c>
      <c r="J40" s="6" t="s">
        <v>41</v>
      </c>
      <c r="K40" s="8" t="s">
        <v>111</v>
      </c>
      <c r="L40" s="8" t="s">
        <v>103</v>
      </c>
      <c r="M40" s="42" t="s">
        <v>296</v>
      </c>
      <c r="N40" s="25" t="s">
        <v>297</v>
      </c>
      <c r="O40" s="12" t="s">
        <v>298</v>
      </c>
    </row>
    <row r="41" spans="1:15" ht="43.5" x14ac:dyDescent="0.35">
      <c r="A41" s="29">
        <v>616</v>
      </c>
      <c r="B41" s="7" t="s">
        <v>46</v>
      </c>
      <c r="C41" s="12" t="s">
        <v>34</v>
      </c>
      <c r="D41" s="12" t="s">
        <v>299</v>
      </c>
      <c r="E41" s="4" t="s">
        <v>300</v>
      </c>
      <c r="F41" s="4" t="s">
        <v>300</v>
      </c>
      <c r="G41" s="12" t="s">
        <v>301</v>
      </c>
      <c r="H41" s="12" t="s">
        <v>301</v>
      </c>
      <c r="I41" s="4" t="s">
        <v>40</v>
      </c>
      <c r="J41" s="6" t="s">
        <v>41</v>
      </c>
      <c r="K41" s="8" t="s">
        <v>302</v>
      </c>
      <c r="L41" s="30" t="s">
        <v>67</v>
      </c>
      <c r="M41" s="25" t="s">
        <v>236</v>
      </c>
      <c r="N41" s="25" t="s">
        <v>303</v>
      </c>
      <c r="O41" s="12" t="s">
        <v>41</v>
      </c>
    </row>
    <row r="42" spans="1:15" ht="43.5" x14ac:dyDescent="0.35">
      <c r="A42" s="29">
        <v>705</v>
      </c>
      <c r="B42" s="7" t="s">
        <v>46</v>
      </c>
      <c r="C42" s="12" t="s">
        <v>34</v>
      </c>
      <c r="D42" s="12" t="s">
        <v>304</v>
      </c>
      <c r="E42" s="4" t="s">
        <v>305</v>
      </c>
      <c r="F42" s="4" t="s">
        <v>305</v>
      </c>
      <c r="G42" s="12" t="s">
        <v>306</v>
      </c>
      <c r="H42" s="12" t="s">
        <v>307</v>
      </c>
      <c r="I42" s="4" t="s">
        <v>40</v>
      </c>
      <c r="J42" s="6" t="s">
        <v>41</v>
      </c>
      <c r="K42" s="8" t="s">
        <v>308</v>
      </c>
      <c r="L42" s="30" t="s">
        <v>82</v>
      </c>
      <c r="M42" s="25" t="s">
        <v>236</v>
      </c>
      <c r="N42" s="25" t="s">
        <v>309</v>
      </c>
      <c r="O42" s="12" t="s">
        <v>41</v>
      </c>
    </row>
    <row r="43" spans="1:15" ht="43.5" x14ac:dyDescent="0.35">
      <c r="A43" s="29">
        <v>615</v>
      </c>
      <c r="B43" s="7" t="s">
        <v>46</v>
      </c>
      <c r="C43" s="12" t="s">
        <v>34</v>
      </c>
      <c r="D43" s="12" t="s">
        <v>310</v>
      </c>
      <c r="E43" s="4" t="s">
        <v>311</v>
      </c>
      <c r="F43" s="4" t="s">
        <v>311</v>
      </c>
      <c r="G43" s="12" t="s">
        <v>312</v>
      </c>
      <c r="H43" s="12" t="s">
        <v>312</v>
      </c>
      <c r="I43" s="4" t="s">
        <v>40</v>
      </c>
      <c r="J43" s="6" t="s">
        <v>41</v>
      </c>
      <c r="K43" s="8" t="s">
        <v>313</v>
      </c>
      <c r="L43" s="30" t="s">
        <v>314</v>
      </c>
      <c r="M43" s="25" t="s">
        <v>236</v>
      </c>
      <c r="N43" s="25" t="s">
        <v>315</v>
      </c>
      <c r="O43" s="12" t="s">
        <v>41</v>
      </c>
    </row>
    <row r="44" spans="1:15" x14ac:dyDescent="0.35">
      <c r="A44" s="29">
        <v>4</v>
      </c>
      <c r="B44" s="7" t="s">
        <v>46</v>
      </c>
      <c r="C44" s="12" t="s">
        <v>34</v>
      </c>
      <c r="D44" s="12" t="s">
        <v>316</v>
      </c>
      <c r="E44" s="4" t="s">
        <v>317</v>
      </c>
      <c r="F44" s="4" t="s">
        <v>317</v>
      </c>
      <c r="G44" s="12" t="s">
        <v>318</v>
      </c>
      <c r="H44" s="12" t="s">
        <v>319</v>
      </c>
      <c r="I44" s="4" t="s">
        <v>40</v>
      </c>
      <c r="J44" s="6" t="s">
        <v>41</v>
      </c>
      <c r="K44" s="8" t="s">
        <v>111</v>
      </c>
      <c r="L44" s="8" t="s">
        <v>103</v>
      </c>
      <c r="M44" s="25" t="s">
        <v>320</v>
      </c>
      <c r="N44" s="25" t="s">
        <v>321</v>
      </c>
      <c r="O44" s="12" t="s">
        <v>41</v>
      </c>
    </row>
    <row r="45" spans="1:15" ht="43.5" x14ac:dyDescent="0.35">
      <c r="A45" s="29">
        <v>729</v>
      </c>
      <c r="B45" s="7" t="s">
        <v>46</v>
      </c>
      <c r="C45" s="12" t="s">
        <v>34</v>
      </c>
      <c r="D45" s="12" t="s">
        <v>322</v>
      </c>
      <c r="E45" s="4" t="s">
        <v>323</v>
      </c>
      <c r="F45" s="4" t="s">
        <v>323</v>
      </c>
      <c r="G45" s="12" t="s">
        <v>324</v>
      </c>
      <c r="H45" s="12" t="s">
        <v>325</v>
      </c>
      <c r="I45" s="4" t="s">
        <v>40</v>
      </c>
      <c r="J45" s="6" t="s">
        <v>41</v>
      </c>
      <c r="K45" s="8" t="s">
        <v>313</v>
      </c>
      <c r="L45" s="8" t="s">
        <v>59</v>
      </c>
      <c r="M45" s="25" t="s">
        <v>236</v>
      </c>
      <c r="N45" s="25" t="s">
        <v>326</v>
      </c>
      <c r="O45" s="12" t="s">
        <v>41</v>
      </c>
    </row>
    <row r="46" spans="1:15" ht="43.5" x14ac:dyDescent="0.35">
      <c r="A46" s="29">
        <v>600</v>
      </c>
      <c r="B46" s="7" t="s">
        <v>46</v>
      </c>
      <c r="C46" s="12" t="s">
        <v>34</v>
      </c>
      <c r="D46" s="12" t="s">
        <v>327</v>
      </c>
      <c r="E46" s="4" t="s">
        <v>328</v>
      </c>
      <c r="F46" s="4" t="s">
        <v>328</v>
      </c>
      <c r="G46" s="12" t="s">
        <v>329</v>
      </c>
      <c r="H46" s="12" t="s">
        <v>329</v>
      </c>
      <c r="I46" s="4" t="s">
        <v>40</v>
      </c>
      <c r="J46" s="6" t="s">
        <v>41</v>
      </c>
      <c r="K46" s="8" t="s">
        <v>313</v>
      </c>
      <c r="L46" s="30" t="s">
        <v>314</v>
      </c>
      <c r="M46" s="25" t="s">
        <v>236</v>
      </c>
      <c r="N46" s="25" t="s">
        <v>330</v>
      </c>
      <c r="O46" s="12" t="s">
        <v>41</v>
      </c>
    </row>
    <row r="47" spans="1:15" ht="43.5" x14ac:dyDescent="0.35">
      <c r="A47" s="29">
        <v>622</v>
      </c>
      <c r="B47" s="7" t="s">
        <v>46</v>
      </c>
      <c r="C47" s="12" t="s">
        <v>34</v>
      </c>
      <c r="D47" s="12" t="s">
        <v>331</v>
      </c>
      <c r="E47" s="4" t="s">
        <v>332</v>
      </c>
      <c r="F47" s="4" t="s">
        <v>332</v>
      </c>
      <c r="G47" s="12" t="s">
        <v>333</v>
      </c>
      <c r="H47" s="12" t="s">
        <v>334</v>
      </c>
      <c r="I47" s="4" t="s">
        <v>40</v>
      </c>
      <c r="J47" s="6" t="s">
        <v>41</v>
      </c>
      <c r="K47" s="8" t="s">
        <v>313</v>
      </c>
      <c r="L47" s="30" t="s">
        <v>314</v>
      </c>
      <c r="M47" s="25" t="s">
        <v>236</v>
      </c>
      <c r="N47" s="25" t="s">
        <v>335</v>
      </c>
      <c r="O47" s="12" t="s">
        <v>41</v>
      </c>
    </row>
    <row r="48" spans="1:15" ht="43.5" x14ac:dyDescent="0.35">
      <c r="A48" s="29">
        <v>606</v>
      </c>
      <c r="B48" s="7" t="s">
        <v>46</v>
      </c>
      <c r="C48" s="12" t="s">
        <v>34</v>
      </c>
      <c r="D48" s="12" t="s">
        <v>336</v>
      </c>
      <c r="E48" s="4" t="s">
        <v>337</v>
      </c>
      <c r="F48" s="4" t="s">
        <v>337</v>
      </c>
      <c r="G48" s="12" t="s">
        <v>338</v>
      </c>
      <c r="H48" s="12" t="s">
        <v>339</v>
      </c>
      <c r="I48" s="4" t="s">
        <v>40</v>
      </c>
      <c r="J48" s="6" t="s">
        <v>41</v>
      </c>
      <c r="K48" s="8" t="s">
        <v>66</v>
      </c>
      <c r="L48" s="30" t="s">
        <v>67</v>
      </c>
      <c r="M48" s="25" t="s">
        <v>236</v>
      </c>
      <c r="N48" s="25" t="s">
        <v>340</v>
      </c>
      <c r="O48" s="12" t="s">
        <v>41</v>
      </c>
    </row>
    <row r="49" spans="1:15" ht="43.5" x14ac:dyDescent="0.35">
      <c r="A49" s="29">
        <v>96</v>
      </c>
      <c r="B49" s="7" t="s">
        <v>46</v>
      </c>
      <c r="C49" s="12" t="s">
        <v>34</v>
      </c>
      <c r="D49" s="12" t="s">
        <v>341</v>
      </c>
      <c r="E49" s="4" t="s">
        <v>342</v>
      </c>
      <c r="F49" s="4" t="s">
        <v>343</v>
      </c>
      <c r="G49" s="12" t="s">
        <v>344</v>
      </c>
      <c r="H49" s="12" t="s">
        <v>345</v>
      </c>
      <c r="I49" s="4" t="s">
        <v>40</v>
      </c>
      <c r="J49" s="6" t="s">
        <v>41</v>
      </c>
      <c r="K49" s="8" t="s">
        <v>346</v>
      </c>
      <c r="L49" s="8" t="s">
        <v>59</v>
      </c>
      <c r="M49" s="25" t="s">
        <v>136</v>
      </c>
      <c r="N49" s="25" t="s">
        <v>136</v>
      </c>
      <c r="O49" s="12" t="s">
        <v>136</v>
      </c>
    </row>
    <row r="50" spans="1:15" ht="43.5" x14ac:dyDescent="0.35">
      <c r="A50" s="29">
        <v>12</v>
      </c>
      <c r="B50" s="7" t="s">
        <v>46</v>
      </c>
      <c r="C50" s="12" t="s">
        <v>34</v>
      </c>
      <c r="D50" s="12" t="s">
        <v>347</v>
      </c>
      <c r="E50" s="4" t="s">
        <v>348</v>
      </c>
      <c r="F50" s="4" t="s">
        <v>348</v>
      </c>
      <c r="G50" s="12" t="s">
        <v>349</v>
      </c>
      <c r="H50" s="12" t="s">
        <v>350</v>
      </c>
      <c r="I50" s="4" t="s">
        <v>40</v>
      </c>
      <c r="J50" s="6" t="s">
        <v>41</v>
      </c>
      <c r="K50" s="8" t="s">
        <v>351</v>
      </c>
      <c r="L50" s="8" t="s">
        <v>67</v>
      </c>
      <c r="M50" s="25" t="s">
        <v>352</v>
      </c>
      <c r="N50" s="25" t="s">
        <v>353</v>
      </c>
      <c r="O50" s="12" t="s">
        <v>41</v>
      </c>
    </row>
    <row r="51" spans="1:15" ht="43.5" x14ac:dyDescent="0.35">
      <c r="A51" s="29">
        <v>13</v>
      </c>
      <c r="B51" s="7" t="s">
        <v>46</v>
      </c>
      <c r="C51" s="12" t="s">
        <v>34</v>
      </c>
      <c r="D51" s="12" t="s">
        <v>354</v>
      </c>
      <c r="E51" s="4" t="s">
        <v>355</v>
      </c>
      <c r="F51" s="4" t="s">
        <v>355</v>
      </c>
      <c r="G51" s="12" t="s">
        <v>356</v>
      </c>
      <c r="H51" s="12" t="s">
        <v>357</v>
      </c>
      <c r="I51" s="4" t="s">
        <v>40</v>
      </c>
      <c r="J51" s="6" t="s">
        <v>41</v>
      </c>
      <c r="K51" s="8" t="s">
        <v>358</v>
      </c>
      <c r="L51" s="8" t="s">
        <v>67</v>
      </c>
      <c r="M51" s="25" t="s">
        <v>352</v>
      </c>
      <c r="N51" s="25" t="s">
        <v>359</v>
      </c>
      <c r="O51" s="12" t="s">
        <v>41</v>
      </c>
    </row>
    <row r="52" spans="1:15" ht="43.5" x14ac:dyDescent="0.35">
      <c r="A52" s="29">
        <v>15</v>
      </c>
      <c r="B52" s="7" t="s">
        <v>46</v>
      </c>
      <c r="C52" s="12" t="s">
        <v>34</v>
      </c>
      <c r="D52" s="12" t="s">
        <v>360</v>
      </c>
      <c r="E52" s="4" t="s">
        <v>361</v>
      </c>
      <c r="F52" s="4" t="s">
        <v>361</v>
      </c>
      <c r="G52" s="12" t="s">
        <v>362</v>
      </c>
      <c r="H52" s="12" t="s">
        <v>363</v>
      </c>
      <c r="I52" s="4" t="s">
        <v>40</v>
      </c>
      <c r="J52" s="6" t="s">
        <v>41</v>
      </c>
      <c r="K52" s="8" t="s">
        <v>364</v>
      </c>
      <c r="L52" s="8" t="s">
        <v>67</v>
      </c>
      <c r="M52" s="25" t="s">
        <v>365</v>
      </c>
      <c r="N52" s="25" t="s">
        <v>366</v>
      </c>
      <c r="O52" s="12" t="s">
        <v>41</v>
      </c>
    </row>
    <row r="53" spans="1:15" ht="43.5" x14ac:dyDescent="0.35">
      <c r="A53" s="29">
        <v>14</v>
      </c>
      <c r="B53" s="7" t="s">
        <v>46</v>
      </c>
      <c r="C53" s="12" t="s">
        <v>34</v>
      </c>
      <c r="D53" s="12" t="s">
        <v>367</v>
      </c>
      <c r="E53" s="4" t="s">
        <v>368</v>
      </c>
      <c r="F53" s="4" t="s">
        <v>368</v>
      </c>
      <c r="G53" s="12" t="s">
        <v>369</v>
      </c>
      <c r="H53" s="12" t="s">
        <v>370</v>
      </c>
      <c r="I53" s="4" t="s">
        <v>40</v>
      </c>
      <c r="J53" s="6" t="s">
        <v>41</v>
      </c>
      <c r="K53" s="8" t="s">
        <v>210</v>
      </c>
      <c r="L53" s="8" t="s">
        <v>43</v>
      </c>
      <c r="M53" s="25" t="s">
        <v>352</v>
      </c>
      <c r="N53" s="25" t="s">
        <v>371</v>
      </c>
      <c r="O53" s="12" t="s">
        <v>41</v>
      </c>
    </row>
    <row r="54" spans="1:15" ht="43.5" x14ac:dyDescent="0.35">
      <c r="A54" s="29">
        <v>324</v>
      </c>
      <c r="B54" s="7" t="s">
        <v>46</v>
      </c>
      <c r="C54" s="12" t="s">
        <v>34</v>
      </c>
      <c r="D54" s="12" t="s">
        <v>372</v>
      </c>
      <c r="E54" s="4" t="s">
        <v>373</v>
      </c>
      <c r="F54" s="4" t="s">
        <v>373</v>
      </c>
      <c r="G54" s="12" t="s">
        <v>374</v>
      </c>
      <c r="H54" s="12" t="s">
        <v>375</v>
      </c>
      <c r="I54" s="4" t="s">
        <v>40</v>
      </c>
      <c r="J54" s="6" t="s">
        <v>41</v>
      </c>
      <c r="K54" s="8" t="s">
        <v>376</v>
      </c>
      <c r="L54" s="8" t="s">
        <v>67</v>
      </c>
      <c r="M54" s="25" t="s">
        <v>377</v>
      </c>
      <c r="N54" s="25" t="s">
        <v>378</v>
      </c>
      <c r="O54" s="12" t="s">
        <v>379</v>
      </c>
    </row>
    <row r="55" spans="1:15" ht="43.5" x14ac:dyDescent="0.35">
      <c r="A55" s="29">
        <v>57</v>
      </c>
      <c r="B55" s="7" t="s">
        <v>46</v>
      </c>
      <c r="C55" s="12" t="s">
        <v>34</v>
      </c>
      <c r="D55" s="12" t="s">
        <v>380</v>
      </c>
      <c r="E55" s="4" t="s">
        <v>381</v>
      </c>
      <c r="F55" s="4" t="s">
        <v>382</v>
      </c>
      <c r="G55" s="12" t="s">
        <v>383</v>
      </c>
      <c r="H55" s="12" t="s">
        <v>384</v>
      </c>
      <c r="I55" s="4" t="s">
        <v>40</v>
      </c>
      <c r="J55" s="6" t="s">
        <v>41</v>
      </c>
      <c r="K55" s="8" t="s">
        <v>385</v>
      </c>
      <c r="L55" s="8" t="s">
        <v>67</v>
      </c>
      <c r="M55" s="25" t="s">
        <v>386</v>
      </c>
      <c r="N55" s="25" t="s">
        <v>387</v>
      </c>
      <c r="O55" s="12" t="s">
        <v>388</v>
      </c>
    </row>
    <row r="56" spans="1:15" ht="43.5" x14ac:dyDescent="0.35">
      <c r="A56" s="29">
        <v>4265</v>
      </c>
      <c r="B56" s="7" t="s">
        <v>46</v>
      </c>
      <c r="C56" s="12" t="s">
        <v>34</v>
      </c>
      <c r="D56" s="12" t="s">
        <v>389</v>
      </c>
      <c r="E56" s="4" t="s">
        <v>390</v>
      </c>
      <c r="F56" s="4" t="s">
        <v>390</v>
      </c>
      <c r="G56" s="12" t="s">
        <v>391</v>
      </c>
      <c r="H56" s="12" t="s">
        <v>392</v>
      </c>
      <c r="I56" s="4" t="s">
        <v>40</v>
      </c>
      <c r="J56" s="6" t="s">
        <v>41</v>
      </c>
      <c r="K56" s="8" t="s">
        <v>393</v>
      </c>
      <c r="L56" s="30" t="s">
        <v>82</v>
      </c>
      <c r="M56" s="25" t="s">
        <v>236</v>
      </c>
      <c r="N56" s="25" t="s">
        <v>394</v>
      </c>
      <c r="O56" s="12" t="s">
        <v>41</v>
      </c>
    </row>
    <row r="57" spans="1:15" ht="43.5" x14ac:dyDescent="0.35">
      <c r="A57" s="29">
        <v>43255</v>
      </c>
      <c r="B57" s="7" t="s">
        <v>46</v>
      </c>
      <c r="C57" s="12" t="s">
        <v>34</v>
      </c>
      <c r="D57" s="12" t="s">
        <v>395</v>
      </c>
      <c r="E57" s="4" t="s">
        <v>396</v>
      </c>
      <c r="F57" s="4" t="s">
        <v>396</v>
      </c>
      <c r="G57" s="12" t="s">
        <v>397</v>
      </c>
      <c r="H57" s="12" t="s">
        <v>398</v>
      </c>
      <c r="I57" s="4" t="s">
        <v>40</v>
      </c>
      <c r="J57" s="6" t="s">
        <v>41</v>
      </c>
      <c r="K57" s="8" t="s">
        <v>399</v>
      </c>
      <c r="L57" s="8" t="s">
        <v>43</v>
      </c>
      <c r="M57" s="25" t="s">
        <v>236</v>
      </c>
      <c r="N57" s="25" t="s">
        <v>400</v>
      </c>
      <c r="O57" s="12" t="s">
        <v>41</v>
      </c>
    </row>
    <row r="58" spans="1:15" ht="43.5" x14ac:dyDescent="0.35">
      <c r="A58" s="29">
        <v>349</v>
      </c>
      <c r="B58" s="7" t="s">
        <v>46</v>
      </c>
      <c r="C58" s="12" t="s">
        <v>34</v>
      </c>
      <c r="D58" s="12" t="s">
        <v>401</v>
      </c>
      <c r="E58" s="4" t="s">
        <v>402</v>
      </c>
      <c r="F58" s="4" t="s">
        <v>402</v>
      </c>
      <c r="G58" s="12" t="s">
        <v>403</v>
      </c>
      <c r="H58" s="12" t="s">
        <v>403</v>
      </c>
      <c r="I58" s="4" t="s">
        <v>40</v>
      </c>
      <c r="J58" s="6" t="s">
        <v>41</v>
      </c>
      <c r="K58" s="8" t="s">
        <v>404</v>
      </c>
      <c r="L58" s="30" t="s">
        <v>67</v>
      </c>
      <c r="M58" s="25" t="s">
        <v>236</v>
      </c>
      <c r="N58" s="25" t="s">
        <v>405</v>
      </c>
      <c r="O58" s="12" t="s">
        <v>41</v>
      </c>
    </row>
    <row r="59" spans="1:15" ht="43.5" x14ac:dyDescent="0.35">
      <c r="A59" s="29">
        <v>77</v>
      </c>
      <c r="B59" s="7" t="s">
        <v>46</v>
      </c>
      <c r="C59" s="12" t="s">
        <v>34</v>
      </c>
      <c r="D59" s="12" t="s">
        <v>406</v>
      </c>
      <c r="E59" s="4" t="s">
        <v>407</v>
      </c>
      <c r="F59" s="4" t="s">
        <v>407</v>
      </c>
      <c r="G59" s="12" t="s">
        <v>408</v>
      </c>
      <c r="H59" s="12" t="s">
        <v>409</v>
      </c>
      <c r="I59" s="4" t="s">
        <v>40</v>
      </c>
      <c r="J59" s="6" t="s">
        <v>41</v>
      </c>
      <c r="K59" s="8" t="s">
        <v>410</v>
      </c>
      <c r="L59" s="8" t="s">
        <v>43</v>
      </c>
      <c r="M59" s="25" t="s">
        <v>411</v>
      </c>
      <c r="N59" s="25" t="s">
        <v>412</v>
      </c>
      <c r="O59" s="12" t="s">
        <v>41</v>
      </c>
    </row>
    <row r="60" spans="1:15" x14ac:dyDescent="0.35">
      <c r="A60" s="29">
        <v>210</v>
      </c>
      <c r="B60" s="7" t="s">
        <v>46</v>
      </c>
      <c r="C60" s="12" t="s">
        <v>34</v>
      </c>
      <c r="D60" s="12" t="s">
        <v>413</v>
      </c>
      <c r="E60" s="4" t="s">
        <v>414</v>
      </c>
      <c r="F60" s="4" t="s">
        <v>414</v>
      </c>
      <c r="G60" s="12" t="s">
        <v>415</v>
      </c>
      <c r="H60" s="12" t="s">
        <v>416</v>
      </c>
      <c r="I60" s="4" t="s">
        <v>40</v>
      </c>
      <c r="J60" s="6" t="s">
        <v>41</v>
      </c>
      <c r="K60" s="8" t="s">
        <v>111</v>
      </c>
      <c r="L60" s="8" t="s">
        <v>103</v>
      </c>
      <c r="M60" s="25" t="s">
        <v>136</v>
      </c>
      <c r="N60" s="25" t="s">
        <v>136</v>
      </c>
      <c r="O60" s="12" t="s">
        <v>136</v>
      </c>
    </row>
    <row r="61" spans="1:15" ht="29" x14ac:dyDescent="0.35">
      <c r="A61" s="29">
        <v>34</v>
      </c>
      <c r="B61" s="7" t="s">
        <v>46</v>
      </c>
      <c r="C61" s="12" t="s">
        <v>34</v>
      </c>
      <c r="D61" s="12" t="s">
        <v>417</v>
      </c>
      <c r="E61" s="21" t="s">
        <v>418</v>
      </c>
      <c r="F61" s="4" t="s">
        <v>419</v>
      </c>
      <c r="G61" s="12" t="s">
        <v>420</v>
      </c>
      <c r="H61" s="12" t="s">
        <v>421</v>
      </c>
      <c r="I61" s="4" t="s">
        <v>40</v>
      </c>
      <c r="J61" s="6" t="s">
        <v>41</v>
      </c>
      <c r="K61" s="8" t="s">
        <v>422</v>
      </c>
      <c r="L61" s="8" t="s">
        <v>82</v>
      </c>
      <c r="M61" s="25" t="s">
        <v>411</v>
      </c>
      <c r="N61" s="25" t="s">
        <v>423</v>
      </c>
      <c r="O61" s="12" t="s">
        <v>41</v>
      </c>
    </row>
    <row r="62" spans="1:15" x14ac:dyDescent="0.35">
      <c r="A62" s="29">
        <v>157</v>
      </c>
      <c r="B62" s="7" t="s">
        <v>46</v>
      </c>
      <c r="C62" s="12" t="s">
        <v>34</v>
      </c>
      <c r="D62" s="12" t="s">
        <v>424</v>
      </c>
      <c r="E62" s="4" t="s">
        <v>425</v>
      </c>
      <c r="F62" s="4" t="s">
        <v>425</v>
      </c>
      <c r="G62" s="12" t="s">
        <v>426</v>
      </c>
      <c r="H62" s="12" t="s">
        <v>427</v>
      </c>
      <c r="I62" s="4" t="s">
        <v>40</v>
      </c>
      <c r="J62" s="6" t="s">
        <v>41</v>
      </c>
      <c r="K62" s="8" t="s">
        <v>111</v>
      </c>
      <c r="L62" s="8" t="s">
        <v>103</v>
      </c>
      <c r="M62" s="25" t="s">
        <v>136</v>
      </c>
      <c r="N62" s="25" t="s">
        <v>136</v>
      </c>
      <c r="O62" s="12" t="s">
        <v>136</v>
      </c>
    </row>
    <row r="63" spans="1:15" ht="43.5" x14ac:dyDescent="0.35">
      <c r="A63" s="29">
        <v>316</v>
      </c>
      <c r="B63" s="7" t="s">
        <v>46</v>
      </c>
      <c r="C63" s="12" t="s">
        <v>34</v>
      </c>
      <c r="D63" s="12" t="s">
        <v>428</v>
      </c>
      <c r="E63" s="4" t="s">
        <v>429</v>
      </c>
      <c r="F63" s="4" t="s">
        <v>429</v>
      </c>
      <c r="G63" s="12" t="s">
        <v>430</v>
      </c>
      <c r="H63" s="12" t="s">
        <v>431</v>
      </c>
      <c r="I63" s="4" t="s">
        <v>40</v>
      </c>
      <c r="J63" s="6" t="s">
        <v>41</v>
      </c>
      <c r="K63" s="8" t="s">
        <v>432</v>
      </c>
      <c r="L63" s="30" t="s">
        <v>67</v>
      </c>
      <c r="M63" s="25" t="s">
        <v>411</v>
      </c>
      <c r="N63" s="25" t="s">
        <v>433</v>
      </c>
      <c r="O63" s="12" t="s">
        <v>41</v>
      </c>
    </row>
    <row r="64" spans="1:15" ht="43.5" x14ac:dyDescent="0.35">
      <c r="A64" s="29">
        <v>173</v>
      </c>
      <c r="B64" s="7" t="s">
        <v>46</v>
      </c>
      <c r="C64" s="12" t="s">
        <v>34</v>
      </c>
      <c r="D64" s="12" t="s">
        <v>434</v>
      </c>
      <c r="E64" s="4" t="s">
        <v>435</v>
      </c>
      <c r="F64" s="4" t="s">
        <v>435</v>
      </c>
      <c r="G64" s="12" t="s">
        <v>436</v>
      </c>
      <c r="H64" s="12" t="s">
        <v>437</v>
      </c>
      <c r="I64" s="4" t="s">
        <v>40</v>
      </c>
      <c r="J64" s="6" t="s">
        <v>41</v>
      </c>
      <c r="K64" s="8" t="s">
        <v>438</v>
      </c>
      <c r="L64" s="8" t="s">
        <v>82</v>
      </c>
      <c r="M64" s="25" t="s">
        <v>411</v>
      </c>
      <c r="N64" s="25" t="s">
        <v>439</v>
      </c>
      <c r="O64" s="12" t="s">
        <v>41</v>
      </c>
    </row>
    <row r="65" spans="1:15" ht="43.5" x14ac:dyDescent="0.35">
      <c r="A65" s="29">
        <v>4262</v>
      </c>
      <c r="B65" s="7" t="s">
        <v>46</v>
      </c>
      <c r="C65" s="12" t="s">
        <v>34</v>
      </c>
      <c r="D65" s="12" t="s">
        <v>440</v>
      </c>
      <c r="E65" s="4" t="s">
        <v>441</v>
      </c>
      <c r="F65" s="4" t="s">
        <v>441</v>
      </c>
      <c r="G65" s="12" t="s">
        <v>442</v>
      </c>
      <c r="H65" s="12" t="s">
        <v>442</v>
      </c>
      <c r="I65" s="4" t="s">
        <v>40</v>
      </c>
      <c r="J65" s="6" t="s">
        <v>41</v>
      </c>
      <c r="K65" s="8" t="s">
        <v>443</v>
      </c>
      <c r="L65" s="8" t="s">
        <v>59</v>
      </c>
      <c r="M65" s="25" t="s">
        <v>236</v>
      </c>
      <c r="N65" s="25" t="s">
        <v>444</v>
      </c>
      <c r="O65" s="12" t="s">
        <v>41</v>
      </c>
    </row>
    <row r="66" spans="1:15" ht="43.5" x14ac:dyDescent="0.35">
      <c r="A66" s="29">
        <v>4291</v>
      </c>
      <c r="B66" s="7" t="s">
        <v>46</v>
      </c>
      <c r="C66" s="12" t="s">
        <v>34</v>
      </c>
      <c r="D66" s="12" t="s">
        <v>445</v>
      </c>
      <c r="E66" s="4" t="s">
        <v>446</v>
      </c>
      <c r="F66" s="4" t="s">
        <v>446</v>
      </c>
      <c r="G66" s="12" t="s">
        <v>447</v>
      </c>
      <c r="H66" s="12" t="s">
        <v>448</v>
      </c>
      <c r="I66" s="4" t="s">
        <v>40</v>
      </c>
      <c r="J66" s="6" t="s">
        <v>41</v>
      </c>
      <c r="K66" s="8" t="s">
        <v>449</v>
      </c>
      <c r="L66" s="30" t="s">
        <v>67</v>
      </c>
      <c r="M66" s="25" t="s">
        <v>236</v>
      </c>
      <c r="N66" s="25" t="s">
        <v>450</v>
      </c>
      <c r="O66" s="12" t="s">
        <v>41</v>
      </c>
    </row>
    <row r="67" spans="1:15" ht="43.5" x14ac:dyDescent="0.35">
      <c r="A67" s="29">
        <v>4245</v>
      </c>
      <c r="B67" s="7" t="s">
        <v>46</v>
      </c>
      <c r="C67" s="12" t="s">
        <v>34</v>
      </c>
      <c r="D67" s="12" t="s">
        <v>451</v>
      </c>
      <c r="E67" s="4" t="s">
        <v>452</v>
      </c>
      <c r="F67" s="4" t="s">
        <v>452</v>
      </c>
      <c r="G67" s="12" t="s">
        <v>453</v>
      </c>
      <c r="H67" s="12" t="s">
        <v>453</v>
      </c>
      <c r="I67" s="4" t="s">
        <v>40</v>
      </c>
      <c r="J67" s="6" t="s">
        <v>41</v>
      </c>
      <c r="K67" s="8" t="s">
        <v>454</v>
      </c>
      <c r="L67" s="30" t="s">
        <v>67</v>
      </c>
      <c r="M67" s="25" t="s">
        <v>455</v>
      </c>
      <c r="N67" s="25" t="s">
        <v>456</v>
      </c>
      <c r="O67" s="12" t="s">
        <v>41</v>
      </c>
    </row>
    <row r="68" spans="1:15" ht="43.5" x14ac:dyDescent="0.35">
      <c r="A68" s="29">
        <v>789</v>
      </c>
      <c r="B68" s="7" t="s">
        <v>46</v>
      </c>
      <c r="C68" s="12" t="s">
        <v>34</v>
      </c>
      <c r="D68" s="12" t="s">
        <v>457</v>
      </c>
      <c r="E68" s="4" t="s">
        <v>458</v>
      </c>
      <c r="F68" s="4" t="s">
        <v>458</v>
      </c>
      <c r="G68" s="12" t="s">
        <v>459</v>
      </c>
      <c r="H68" s="12" t="s">
        <v>459</v>
      </c>
      <c r="I68" s="4" t="s">
        <v>460</v>
      </c>
      <c r="J68" s="6" t="s">
        <v>461</v>
      </c>
      <c r="K68" s="8" t="s">
        <v>462</v>
      </c>
      <c r="L68" s="8" t="s">
        <v>59</v>
      </c>
      <c r="M68" s="25" t="s">
        <v>463</v>
      </c>
      <c r="N68" s="25" t="s">
        <v>464</v>
      </c>
      <c r="O68" s="12" t="s">
        <v>41</v>
      </c>
    </row>
    <row r="69" spans="1:15" ht="101.5" x14ac:dyDescent="0.35">
      <c r="A69" s="29">
        <v>4261</v>
      </c>
      <c r="B69" s="7" t="s">
        <v>46</v>
      </c>
      <c r="C69" s="12" t="s">
        <v>34</v>
      </c>
      <c r="D69" s="12" t="s">
        <v>465</v>
      </c>
      <c r="E69" s="4" t="s">
        <v>466</v>
      </c>
      <c r="F69" s="4" t="s">
        <v>467</v>
      </c>
      <c r="G69" s="12" t="s">
        <v>468</v>
      </c>
      <c r="H69" s="12" t="s">
        <v>469</v>
      </c>
      <c r="I69" s="4" t="s">
        <v>460</v>
      </c>
      <c r="J69" s="6" t="s">
        <v>470</v>
      </c>
      <c r="K69" s="8" t="s">
        <v>471</v>
      </c>
      <c r="L69" s="8" t="s">
        <v>103</v>
      </c>
      <c r="M69" s="25" t="s">
        <v>472</v>
      </c>
      <c r="N69" s="25" t="s">
        <v>466</v>
      </c>
      <c r="O69" s="12" t="s">
        <v>41</v>
      </c>
    </row>
    <row r="70" spans="1:15" ht="43.5" x14ac:dyDescent="0.35">
      <c r="A70" s="29">
        <v>4279</v>
      </c>
      <c r="B70" s="7" t="s">
        <v>46</v>
      </c>
      <c r="C70" s="12" t="s">
        <v>34</v>
      </c>
      <c r="D70" s="12" t="s">
        <v>473</v>
      </c>
      <c r="E70" s="4" t="s">
        <v>474</v>
      </c>
      <c r="F70" s="4" t="s">
        <v>474</v>
      </c>
      <c r="G70" s="12" t="s">
        <v>475</v>
      </c>
      <c r="H70" s="12" t="s">
        <v>476</v>
      </c>
      <c r="I70" s="4" t="s">
        <v>460</v>
      </c>
      <c r="J70" s="6" t="s">
        <v>477</v>
      </c>
      <c r="K70" s="8" t="s">
        <v>478</v>
      </c>
      <c r="L70" s="8" t="s">
        <v>314</v>
      </c>
      <c r="M70" s="25" t="s">
        <v>479</v>
      </c>
      <c r="N70" s="25" t="s">
        <v>480</v>
      </c>
      <c r="O70" s="12" t="s">
        <v>41</v>
      </c>
    </row>
    <row r="71" spans="1:15" ht="43.5" x14ac:dyDescent="0.35">
      <c r="A71" s="29">
        <v>421</v>
      </c>
      <c r="B71" s="7" t="s">
        <v>46</v>
      </c>
      <c r="C71" s="12" t="s">
        <v>34</v>
      </c>
      <c r="D71" s="12" t="s">
        <v>481</v>
      </c>
      <c r="E71" s="4" t="s">
        <v>482</v>
      </c>
      <c r="F71" s="4" t="s">
        <v>483</v>
      </c>
      <c r="G71" s="12" t="s">
        <v>484</v>
      </c>
      <c r="H71" s="12" t="s">
        <v>485</v>
      </c>
      <c r="I71" s="4" t="s">
        <v>460</v>
      </c>
      <c r="J71" s="6" t="s">
        <v>486</v>
      </c>
      <c r="K71" s="8" t="s">
        <v>487</v>
      </c>
      <c r="L71" s="8" t="s">
        <v>67</v>
      </c>
      <c r="M71" s="25" t="s">
        <v>488</v>
      </c>
      <c r="N71" s="25" t="s">
        <v>482</v>
      </c>
      <c r="O71" s="12" t="s">
        <v>41</v>
      </c>
    </row>
    <row r="72" spans="1:15" x14ac:dyDescent="0.35">
      <c r="A72" s="29">
        <v>4344</v>
      </c>
      <c r="B72" s="86"/>
      <c r="C72" s="85"/>
      <c r="D72" s="85"/>
      <c r="E72" s="54"/>
      <c r="F72" s="54"/>
      <c r="G72" s="85"/>
      <c r="H72" s="85"/>
      <c r="I72" s="54"/>
      <c r="J72" s="87"/>
      <c r="K72" s="83"/>
      <c r="L72" s="88"/>
      <c r="M72" s="84"/>
      <c r="N72" s="84"/>
      <c r="O72" s="85"/>
    </row>
    <row r="73" spans="1:15" ht="43.5" x14ac:dyDescent="0.35">
      <c r="A73" s="29">
        <v>838</v>
      </c>
      <c r="B73" s="7" t="s">
        <v>46</v>
      </c>
      <c r="C73" s="12" t="s">
        <v>34</v>
      </c>
      <c r="D73" s="12" t="s">
        <v>489</v>
      </c>
      <c r="E73" s="4" t="s">
        <v>490</v>
      </c>
      <c r="F73" s="4" t="s">
        <v>490</v>
      </c>
      <c r="G73" s="12" t="s">
        <v>491</v>
      </c>
      <c r="H73" s="12" t="s">
        <v>492</v>
      </c>
      <c r="I73" s="4" t="s">
        <v>460</v>
      </c>
      <c r="J73" s="6" t="s">
        <v>493</v>
      </c>
      <c r="K73" s="8" t="s">
        <v>494</v>
      </c>
      <c r="L73" s="30" t="s">
        <v>314</v>
      </c>
      <c r="M73" s="25" t="s">
        <v>479</v>
      </c>
      <c r="N73" s="25" t="s">
        <v>495</v>
      </c>
      <c r="O73" s="12" t="s">
        <v>41</v>
      </c>
    </row>
    <row r="74" spans="1:15" ht="43.5" x14ac:dyDescent="0.35">
      <c r="A74" s="29">
        <v>832</v>
      </c>
      <c r="B74" s="7" t="s">
        <v>46</v>
      </c>
      <c r="C74" s="12" t="s">
        <v>34</v>
      </c>
      <c r="D74" s="12" t="s">
        <v>496</v>
      </c>
      <c r="E74" s="4" t="s">
        <v>497</v>
      </c>
      <c r="F74" s="4" t="s">
        <v>497</v>
      </c>
      <c r="G74" s="12" t="s">
        <v>498</v>
      </c>
      <c r="H74" s="12" t="s">
        <v>499</v>
      </c>
      <c r="I74" s="4" t="s">
        <v>460</v>
      </c>
      <c r="J74" s="6" t="s">
        <v>493</v>
      </c>
      <c r="K74" s="8" t="s">
        <v>500</v>
      </c>
      <c r="L74" s="30" t="s">
        <v>314</v>
      </c>
      <c r="M74" s="25" t="s">
        <v>479</v>
      </c>
      <c r="N74" s="25" t="s">
        <v>501</v>
      </c>
      <c r="O74" s="12" t="s">
        <v>41</v>
      </c>
    </row>
    <row r="75" spans="1:15" ht="43.5" x14ac:dyDescent="0.35">
      <c r="A75" s="29">
        <v>839</v>
      </c>
      <c r="B75" s="7" t="s">
        <v>46</v>
      </c>
      <c r="C75" s="12" t="s">
        <v>34</v>
      </c>
      <c r="D75" s="12" t="s">
        <v>502</v>
      </c>
      <c r="E75" s="4" t="s">
        <v>503</v>
      </c>
      <c r="F75" s="4" t="s">
        <v>503</v>
      </c>
      <c r="G75" s="12" t="s">
        <v>504</v>
      </c>
      <c r="H75" s="12" t="s">
        <v>505</v>
      </c>
      <c r="I75" s="4" t="s">
        <v>460</v>
      </c>
      <c r="J75" s="6" t="s">
        <v>493</v>
      </c>
      <c r="K75" s="8" t="s">
        <v>506</v>
      </c>
      <c r="L75" s="30" t="s">
        <v>314</v>
      </c>
      <c r="M75" s="25" t="s">
        <v>479</v>
      </c>
      <c r="N75" s="25" t="s">
        <v>507</v>
      </c>
      <c r="O75" s="12" t="s">
        <v>41</v>
      </c>
    </row>
    <row r="76" spans="1:15" s="26" customFormat="1" ht="43.5" x14ac:dyDescent="0.35">
      <c r="A76" s="29">
        <v>840</v>
      </c>
      <c r="B76" s="7" t="s">
        <v>46</v>
      </c>
      <c r="C76" s="12" t="s">
        <v>34</v>
      </c>
      <c r="D76" s="12" t="s">
        <v>508</v>
      </c>
      <c r="E76" s="4" t="s">
        <v>509</v>
      </c>
      <c r="F76" s="4" t="s">
        <v>509</v>
      </c>
      <c r="G76" s="12" t="s">
        <v>510</v>
      </c>
      <c r="H76" s="12" t="s">
        <v>511</v>
      </c>
      <c r="I76" s="4" t="s">
        <v>460</v>
      </c>
      <c r="J76" s="6" t="s">
        <v>493</v>
      </c>
      <c r="K76" s="8" t="s">
        <v>500</v>
      </c>
      <c r="L76" s="30" t="s">
        <v>314</v>
      </c>
      <c r="M76" s="25" t="s">
        <v>479</v>
      </c>
      <c r="N76" s="25" t="s">
        <v>512</v>
      </c>
      <c r="O76" s="12" t="s">
        <v>41</v>
      </c>
    </row>
    <row r="77" spans="1:15" s="26" customFormat="1" ht="43.5" x14ac:dyDescent="0.35">
      <c r="A77" s="29">
        <v>831</v>
      </c>
      <c r="B77" s="7" t="s">
        <v>46</v>
      </c>
      <c r="C77" s="12" t="s">
        <v>34</v>
      </c>
      <c r="D77" s="12" t="s">
        <v>513</v>
      </c>
      <c r="E77" s="4" t="s">
        <v>514</v>
      </c>
      <c r="F77" s="4" t="s">
        <v>514</v>
      </c>
      <c r="G77" s="12" t="s">
        <v>515</v>
      </c>
      <c r="H77" s="12" t="s">
        <v>516</v>
      </c>
      <c r="I77" s="4" t="s">
        <v>460</v>
      </c>
      <c r="J77" s="6" t="s">
        <v>493</v>
      </c>
      <c r="K77" s="8" t="s">
        <v>500</v>
      </c>
      <c r="L77" s="30" t="s">
        <v>314</v>
      </c>
      <c r="M77" s="25" t="s">
        <v>479</v>
      </c>
      <c r="N77" s="25" t="s">
        <v>517</v>
      </c>
      <c r="O77" s="12" t="s">
        <v>41</v>
      </c>
    </row>
    <row r="78" spans="1:15" s="28" customFormat="1" x14ac:dyDescent="0.35">
      <c r="A78" s="29">
        <v>214</v>
      </c>
      <c r="B78" s="111" t="s">
        <v>46</v>
      </c>
      <c r="C78" s="123" t="s">
        <v>34</v>
      </c>
      <c r="D78" s="123" t="s">
        <v>518</v>
      </c>
      <c r="E78" s="130" t="s">
        <v>519</v>
      </c>
      <c r="F78" s="130" t="s">
        <v>520</v>
      </c>
      <c r="G78" s="123" t="s">
        <v>521</v>
      </c>
      <c r="H78" s="123" t="s">
        <v>522</v>
      </c>
      <c r="I78" s="130" t="s">
        <v>460</v>
      </c>
      <c r="J78" s="131" t="s">
        <v>523</v>
      </c>
      <c r="K78" s="124" t="s">
        <v>524</v>
      </c>
      <c r="L78" s="124" t="s">
        <v>43</v>
      </c>
      <c r="M78" s="100" t="s">
        <v>525</v>
      </c>
      <c r="N78" s="100" t="s">
        <v>519</v>
      </c>
      <c r="O78" s="123" t="s">
        <v>41</v>
      </c>
    </row>
    <row r="79" spans="1:15" s="28" customFormat="1" x14ac:dyDescent="0.35">
      <c r="A79" s="29">
        <v>4270</v>
      </c>
      <c r="B79" s="121"/>
      <c r="C79" s="113" t="s">
        <v>34</v>
      </c>
      <c r="D79" s="113" t="s">
        <v>518</v>
      </c>
      <c r="E79" s="115" t="s">
        <v>519</v>
      </c>
      <c r="F79" s="115" t="s">
        <v>520</v>
      </c>
      <c r="G79" s="113" t="s">
        <v>521</v>
      </c>
      <c r="H79" s="113" t="s">
        <v>522</v>
      </c>
      <c r="I79" s="115" t="s">
        <v>460</v>
      </c>
      <c r="J79" s="117" t="s">
        <v>523</v>
      </c>
      <c r="K79" s="119" t="s">
        <v>524</v>
      </c>
      <c r="L79" s="119" t="s">
        <v>43</v>
      </c>
      <c r="M79" s="101" t="s">
        <v>525</v>
      </c>
      <c r="N79" s="101" t="s">
        <v>519</v>
      </c>
      <c r="O79" s="113" t="s">
        <v>41</v>
      </c>
    </row>
    <row r="80" spans="1:15" x14ac:dyDescent="0.35">
      <c r="A80" s="29">
        <v>4329</v>
      </c>
      <c r="B80" s="120"/>
      <c r="C80" s="112" t="s">
        <v>34</v>
      </c>
      <c r="D80" s="112" t="s">
        <v>518</v>
      </c>
      <c r="E80" s="114" t="s">
        <v>519</v>
      </c>
      <c r="F80" s="114" t="s">
        <v>526</v>
      </c>
      <c r="G80" s="112" t="s">
        <v>521</v>
      </c>
      <c r="H80" s="112" t="s">
        <v>521</v>
      </c>
      <c r="I80" s="114" t="s">
        <v>460</v>
      </c>
      <c r="J80" s="116" t="s">
        <v>527</v>
      </c>
      <c r="K80" s="118" t="s">
        <v>528</v>
      </c>
      <c r="L80" s="118" t="s">
        <v>314</v>
      </c>
      <c r="M80" s="122" t="s">
        <v>529</v>
      </c>
      <c r="N80" s="122" t="s">
        <v>519</v>
      </c>
      <c r="O80" s="112" t="s">
        <v>41</v>
      </c>
    </row>
    <row r="81" spans="1:15" x14ac:dyDescent="0.35">
      <c r="A81" s="29">
        <v>4338</v>
      </c>
      <c r="B81" s="121"/>
      <c r="C81" s="113" t="s">
        <v>34</v>
      </c>
      <c r="D81" s="113" t="s">
        <v>518</v>
      </c>
      <c r="E81" s="115" t="s">
        <v>519</v>
      </c>
      <c r="F81" s="115" t="s">
        <v>526</v>
      </c>
      <c r="G81" s="113" t="s">
        <v>521</v>
      </c>
      <c r="H81" s="113" t="s">
        <v>521</v>
      </c>
      <c r="I81" s="115" t="s">
        <v>460</v>
      </c>
      <c r="J81" s="117" t="s">
        <v>527</v>
      </c>
      <c r="K81" s="119" t="s">
        <v>528</v>
      </c>
      <c r="L81" s="119" t="s">
        <v>314</v>
      </c>
      <c r="M81" s="101" t="s">
        <v>529</v>
      </c>
      <c r="N81" s="101" t="s">
        <v>519</v>
      </c>
      <c r="O81" s="113" t="s">
        <v>41</v>
      </c>
    </row>
    <row r="82" spans="1:15" s="26" customFormat="1" ht="43.5" x14ac:dyDescent="0.35">
      <c r="A82" s="29">
        <v>788</v>
      </c>
      <c r="B82" s="7" t="s">
        <v>46</v>
      </c>
      <c r="C82" s="12" t="s">
        <v>34</v>
      </c>
      <c r="D82" s="12" t="s">
        <v>530</v>
      </c>
      <c r="E82" s="4" t="s">
        <v>531</v>
      </c>
      <c r="F82" s="4" t="s">
        <v>531</v>
      </c>
      <c r="G82" s="12" t="s">
        <v>532</v>
      </c>
      <c r="H82" s="12" t="s">
        <v>532</v>
      </c>
      <c r="I82" s="4" t="s">
        <v>460</v>
      </c>
      <c r="J82" s="6" t="s">
        <v>461</v>
      </c>
      <c r="K82" s="8" t="s">
        <v>533</v>
      </c>
      <c r="L82" s="8" t="s">
        <v>43</v>
      </c>
      <c r="M82" s="25" t="s">
        <v>463</v>
      </c>
      <c r="N82" s="25" t="s">
        <v>534</v>
      </c>
      <c r="O82" s="12" t="s">
        <v>41</v>
      </c>
    </row>
    <row r="83" spans="1:15" ht="43.5" x14ac:dyDescent="0.35">
      <c r="A83" s="29">
        <v>426</v>
      </c>
      <c r="B83" s="7" t="s">
        <v>46</v>
      </c>
      <c r="C83" s="12" t="s">
        <v>34</v>
      </c>
      <c r="D83" s="12" t="s">
        <v>535</v>
      </c>
      <c r="E83" s="4" t="s">
        <v>536</v>
      </c>
      <c r="F83" s="4" t="s">
        <v>536</v>
      </c>
      <c r="G83" s="12" t="s">
        <v>537</v>
      </c>
      <c r="H83" s="12" t="s">
        <v>537</v>
      </c>
      <c r="I83" s="4" t="s">
        <v>460</v>
      </c>
      <c r="J83" s="6" t="s">
        <v>538</v>
      </c>
      <c r="K83" s="8" t="s">
        <v>539</v>
      </c>
      <c r="L83" s="8" t="s">
        <v>314</v>
      </c>
      <c r="M83" s="25" t="s">
        <v>540</v>
      </c>
      <c r="N83" s="25" t="s">
        <v>541</v>
      </c>
      <c r="O83" s="12" t="s">
        <v>41</v>
      </c>
    </row>
    <row r="84" spans="1:15" ht="101.5" x14ac:dyDescent="0.35">
      <c r="A84" s="29" t="s">
        <v>41</v>
      </c>
      <c r="B84" s="7" t="s">
        <v>46</v>
      </c>
      <c r="C84" s="12" t="s">
        <v>34</v>
      </c>
      <c r="D84" s="12" t="s">
        <v>542</v>
      </c>
      <c r="E84" s="4" t="s">
        <v>543</v>
      </c>
      <c r="F84" s="4" t="s">
        <v>544</v>
      </c>
      <c r="G84" s="12" t="s">
        <v>545</v>
      </c>
      <c r="H84" s="12" t="s">
        <v>41</v>
      </c>
      <c r="I84" s="4" t="s">
        <v>460</v>
      </c>
      <c r="J84" s="6" t="s">
        <v>546</v>
      </c>
      <c r="K84" s="8" t="s">
        <v>547</v>
      </c>
      <c r="L84" s="8" t="s">
        <v>67</v>
      </c>
      <c r="M84" s="25" t="s">
        <v>548</v>
      </c>
      <c r="N84" s="25" t="s">
        <v>548</v>
      </c>
      <c r="O84" s="12" t="s">
        <v>41</v>
      </c>
    </row>
    <row r="85" spans="1:15" s="26" customFormat="1" ht="43.5" x14ac:dyDescent="0.35">
      <c r="A85" s="29">
        <v>227</v>
      </c>
      <c r="B85" s="7" t="s">
        <v>46</v>
      </c>
      <c r="C85" s="12" t="s">
        <v>34</v>
      </c>
      <c r="D85" s="12" t="s">
        <v>549</v>
      </c>
      <c r="E85" s="4" t="s">
        <v>550</v>
      </c>
      <c r="F85" s="4" t="s">
        <v>551</v>
      </c>
      <c r="G85" s="12" t="s">
        <v>552</v>
      </c>
      <c r="H85" s="12" t="s">
        <v>553</v>
      </c>
      <c r="I85" s="4" t="s">
        <v>460</v>
      </c>
      <c r="J85" s="6" t="s">
        <v>554</v>
      </c>
      <c r="K85" s="8" t="s">
        <v>555</v>
      </c>
      <c r="L85" s="8" t="s">
        <v>43</v>
      </c>
      <c r="M85" s="25" t="s">
        <v>548</v>
      </c>
      <c r="N85" s="25" t="s">
        <v>548</v>
      </c>
      <c r="O85" s="12" t="s">
        <v>41</v>
      </c>
    </row>
    <row r="86" spans="1:15" ht="43.5" x14ac:dyDescent="0.35">
      <c r="A86" s="29">
        <v>904</v>
      </c>
      <c r="B86" s="7" t="s">
        <v>46</v>
      </c>
      <c r="C86" s="12" t="s">
        <v>34</v>
      </c>
      <c r="D86" s="12" t="s">
        <v>556</v>
      </c>
      <c r="E86" s="4" t="s">
        <v>557</v>
      </c>
      <c r="F86" s="4" t="s">
        <v>557</v>
      </c>
      <c r="G86" s="12" t="s">
        <v>558</v>
      </c>
      <c r="H86" s="12" t="s">
        <v>559</v>
      </c>
      <c r="I86" s="4" t="s">
        <v>460</v>
      </c>
      <c r="J86" s="6" t="s">
        <v>560</v>
      </c>
      <c r="K86" s="8" t="s">
        <v>561</v>
      </c>
      <c r="L86" s="8" t="s">
        <v>59</v>
      </c>
      <c r="M86" s="25" t="s">
        <v>479</v>
      </c>
      <c r="N86" s="25" t="s">
        <v>562</v>
      </c>
      <c r="O86" s="12" t="s">
        <v>41</v>
      </c>
    </row>
    <row r="87" spans="1:15" s="26" customFormat="1" ht="43.5" x14ac:dyDescent="0.35">
      <c r="A87" s="29">
        <v>4322</v>
      </c>
      <c r="B87" s="7" t="s">
        <v>46</v>
      </c>
      <c r="C87" s="12" t="s">
        <v>34</v>
      </c>
      <c r="D87" s="12" t="s">
        <v>563</v>
      </c>
      <c r="E87" s="4" t="s">
        <v>564</v>
      </c>
      <c r="F87" s="4" t="s">
        <v>564</v>
      </c>
      <c r="G87" s="12" t="s">
        <v>565</v>
      </c>
      <c r="H87" s="12" t="s">
        <v>565</v>
      </c>
      <c r="I87" s="4" t="s">
        <v>460</v>
      </c>
      <c r="J87" s="6" t="s">
        <v>566</v>
      </c>
      <c r="K87" s="8" t="s">
        <v>567</v>
      </c>
      <c r="L87" s="8" t="s">
        <v>59</v>
      </c>
      <c r="M87" s="25" t="s">
        <v>568</v>
      </c>
      <c r="N87" s="25" t="s">
        <v>569</v>
      </c>
      <c r="O87" s="12" t="s">
        <v>41</v>
      </c>
    </row>
    <row r="88" spans="1:15" s="26" customFormat="1" ht="43.5" x14ac:dyDescent="0.35">
      <c r="A88" s="29">
        <v>792</v>
      </c>
      <c r="B88" s="7" t="s">
        <v>46</v>
      </c>
      <c r="C88" s="12" t="s">
        <v>34</v>
      </c>
      <c r="D88" s="12" t="s">
        <v>570</v>
      </c>
      <c r="E88" s="4" t="s">
        <v>571</v>
      </c>
      <c r="F88" s="4" t="s">
        <v>571</v>
      </c>
      <c r="G88" s="12" t="s">
        <v>572</v>
      </c>
      <c r="H88" s="12" t="s">
        <v>572</v>
      </c>
      <c r="I88" s="4" t="s">
        <v>460</v>
      </c>
      <c r="J88" s="6" t="s">
        <v>461</v>
      </c>
      <c r="K88" s="8" t="s">
        <v>573</v>
      </c>
      <c r="L88" s="8" t="s">
        <v>574</v>
      </c>
      <c r="M88" s="25" t="s">
        <v>463</v>
      </c>
      <c r="N88" s="25" t="s">
        <v>575</v>
      </c>
      <c r="O88" s="12" t="s">
        <v>41</v>
      </c>
    </row>
    <row r="89" spans="1:15" s="26" customFormat="1" ht="43.5" x14ac:dyDescent="0.35">
      <c r="A89" s="29">
        <v>4298</v>
      </c>
      <c r="B89" s="7" t="s">
        <v>46</v>
      </c>
      <c r="C89" s="12" t="s">
        <v>34</v>
      </c>
      <c r="D89" s="12" t="s">
        <v>576</v>
      </c>
      <c r="E89" s="4" t="s">
        <v>577</v>
      </c>
      <c r="F89" s="4" t="s">
        <v>577</v>
      </c>
      <c r="G89" s="12" t="s">
        <v>578</v>
      </c>
      <c r="H89" s="12" t="s">
        <v>578</v>
      </c>
      <c r="I89" s="4" t="s">
        <v>460</v>
      </c>
      <c r="J89" s="6" t="s">
        <v>461</v>
      </c>
      <c r="K89" s="8" t="s">
        <v>579</v>
      </c>
      <c r="L89" s="30" t="s">
        <v>67</v>
      </c>
      <c r="M89" s="25" t="s">
        <v>463</v>
      </c>
      <c r="N89" s="25" t="s">
        <v>580</v>
      </c>
      <c r="O89" s="12" t="s">
        <v>41</v>
      </c>
    </row>
    <row r="90" spans="1:15" s="26" customFormat="1" ht="29" x14ac:dyDescent="0.35">
      <c r="A90" s="29">
        <v>790</v>
      </c>
      <c r="B90" s="7" t="s">
        <v>46</v>
      </c>
      <c r="C90" s="12" t="s">
        <v>34</v>
      </c>
      <c r="D90" s="12" t="s">
        <v>581</v>
      </c>
      <c r="E90" s="4" t="s">
        <v>582</v>
      </c>
      <c r="F90" s="4" t="s">
        <v>582</v>
      </c>
      <c r="G90" s="12" t="s">
        <v>583</v>
      </c>
      <c r="H90" s="12" t="s">
        <v>583</v>
      </c>
      <c r="I90" s="4" t="s">
        <v>460</v>
      </c>
      <c r="J90" s="6" t="s">
        <v>461</v>
      </c>
      <c r="K90" s="8" t="s">
        <v>584</v>
      </c>
      <c r="L90" s="8" t="s">
        <v>59</v>
      </c>
      <c r="M90" s="25" t="s">
        <v>463</v>
      </c>
      <c r="N90" s="25" t="s">
        <v>585</v>
      </c>
      <c r="O90" s="12" t="s">
        <v>41</v>
      </c>
    </row>
    <row r="91" spans="1:15" s="26" customFormat="1" ht="43.5" x14ac:dyDescent="0.35">
      <c r="A91" s="29">
        <v>791</v>
      </c>
      <c r="B91" s="7" t="s">
        <v>46</v>
      </c>
      <c r="C91" s="12" t="s">
        <v>34</v>
      </c>
      <c r="D91" s="12" t="s">
        <v>586</v>
      </c>
      <c r="E91" s="4" t="s">
        <v>587</v>
      </c>
      <c r="F91" s="4" t="s">
        <v>587</v>
      </c>
      <c r="G91" s="12" t="s">
        <v>588</v>
      </c>
      <c r="H91" s="12" t="s">
        <v>588</v>
      </c>
      <c r="I91" s="4" t="s">
        <v>460</v>
      </c>
      <c r="J91" s="6" t="s">
        <v>461</v>
      </c>
      <c r="K91" s="8" t="s">
        <v>589</v>
      </c>
      <c r="L91" s="8" t="s">
        <v>59</v>
      </c>
      <c r="M91" s="25" t="s">
        <v>463</v>
      </c>
      <c r="N91" s="25" t="s">
        <v>590</v>
      </c>
      <c r="O91" s="12" t="s">
        <v>41</v>
      </c>
    </row>
    <row r="92" spans="1:15" s="26" customFormat="1" ht="43.5" x14ac:dyDescent="0.35">
      <c r="A92" s="29" t="s">
        <v>41</v>
      </c>
      <c r="B92" s="7" t="s">
        <v>46</v>
      </c>
      <c r="C92" s="12" t="s">
        <v>34</v>
      </c>
      <c r="D92" s="12" t="s">
        <v>591</v>
      </c>
      <c r="E92" s="4" t="s">
        <v>592</v>
      </c>
      <c r="F92" s="4" t="s">
        <v>592</v>
      </c>
      <c r="G92" s="12" t="s">
        <v>593</v>
      </c>
      <c r="H92" s="12" t="s">
        <v>594</v>
      </c>
      <c r="I92" s="4" t="s">
        <v>460</v>
      </c>
      <c r="J92" s="6" t="s">
        <v>554</v>
      </c>
      <c r="K92" s="8" t="s">
        <v>595</v>
      </c>
      <c r="L92" s="8" t="s">
        <v>82</v>
      </c>
      <c r="M92" s="25" t="s">
        <v>548</v>
      </c>
      <c r="N92" s="25" t="s">
        <v>548</v>
      </c>
      <c r="O92" s="12" t="s">
        <v>41</v>
      </c>
    </row>
    <row r="93" spans="1:15" s="26" customFormat="1" ht="43.5" x14ac:dyDescent="0.35">
      <c r="A93" s="29">
        <v>142</v>
      </c>
      <c r="B93" s="7" t="s">
        <v>46</v>
      </c>
      <c r="C93" s="12" t="s">
        <v>34</v>
      </c>
      <c r="D93" s="12" t="s">
        <v>596</v>
      </c>
      <c r="E93" s="4" t="s">
        <v>597</v>
      </c>
      <c r="F93" s="4" t="s">
        <v>598</v>
      </c>
      <c r="G93" s="12" t="s">
        <v>599</v>
      </c>
      <c r="H93" s="12" t="s">
        <v>600</v>
      </c>
      <c r="I93" s="4" t="s">
        <v>460</v>
      </c>
      <c r="J93" s="6" t="s">
        <v>554</v>
      </c>
      <c r="K93" s="8" t="s">
        <v>601</v>
      </c>
      <c r="L93" s="8" t="s">
        <v>43</v>
      </c>
      <c r="M93" s="25" t="s">
        <v>548</v>
      </c>
      <c r="N93" s="25" t="s">
        <v>548</v>
      </c>
      <c r="O93" s="12" t="s">
        <v>41</v>
      </c>
    </row>
    <row r="94" spans="1:15" s="26" customFormat="1" ht="43.5" x14ac:dyDescent="0.35">
      <c r="A94" s="29">
        <v>323</v>
      </c>
      <c r="B94" s="7" t="s">
        <v>46</v>
      </c>
      <c r="C94" s="12" t="s">
        <v>34</v>
      </c>
      <c r="D94" s="12" t="s">
        <v>602</v>
      </c>
      <c r="E94" s="4" t="s">
        <v>603</v>
      </c>
      <c r="F94" s="4" t="s">
        <v>604</v>
      </c>
      <c r="G94" s="12" t="s">
        <v>605</v>
      </c>
      <c r="H94" s="12" t="s">
        <v>606</v>
      </c>
      <c r="I94" s="4" t="s">
        <v>460</v>
      </c>
      <c r="J94" s="6" t="s">
        <v>554</v>
      </c>
      <c r="K94" s="8" t="s">
        <v>276</v>
      </c>
      <c r="L94" s="8" t="s">
        <v>607</v>
      </c>
      <c r="M94" s="25" t="s">
        <v>608</v>
      </c>
      <c r="N94" s="25" t="s">
        <v>608</v>
      </c>
      <c r="O94" s="12" t="s">
        <v>608</v>
      </c>
    </row>
    <row r="95" spans="1:15" ht="43.5" x14ac:dyDescent="0.35">
      <c r="A95" s="29">
        <v>322</v>
      </c>
      <c r="B95" s="7" t="s">
        <v>46</v>
      </c>
      <c r="C95" s="12" t="s">
        <v>34</v>
      </c>
      <c r="D95" s="12" t="s">
        <v>609</v>
      </c>
      <c r="E95" s="4" t="s">
        <v>610</v>
      </c>
      <c r="F95" s="4" t="s">
        <v>611</v>
      </c>
      <c r="G95" s="12" t="s">
        <v>612</v>
      </c>
      <c r="H95" s="12" t="s">
        <v>613</v>
      </c>
      <c r="I95" s="4" t="s">
        <v>460</v>
      </c>
      <c r="J95" s="6" t="s">
        <v>554</v>
      </c>
      <c r="K95" s="8" t="s">
        <v>614</v>
      </c>
      <c r="L95" s="8" t="s">
        <v>43</v>
      </c>
      <c r="M95" s="25" t="s">
        <v>608</v>
      </c>
      <c r="N95" s="25" t="s">
        <v>608</v>
      </c>
      <c r="O95" s="12" t="s">
        <v>608</v>
      </c>
    </row>
    <row r="96" spans="1:15" ht="43.5" x14ac:dyDescent="0.35">
      <c r="A96" s="29">
        <v>321</v>
      </c>
      <c r="B96" s="7" t="s">
        <v>46</v>
      </c>
      <c r="C96" s="12" t="s">
        <v>34</v>
      </c>
      <c r="D96" s="12" t="s">
        <v>615</v>
      </c>
      <c r="E96" s="4" t="s">
        <v>616</v>
      </c>
      <c r="F96" s="4" t="s">
        <v>617</v>
      </c>
      <c r="G96" s="12" t="s">
        <v>618</v>
      </c>
      <c r="H96" s="12" t="s">
        <v>619</v>
      </c>
      <c r="I96" s="4" t="s">
        <v>460</v>
      </c>
      <c r="J96" s="6" t="s">
        <v>554</v>
      </c>
      <c r="K96" s="8" t="s">
        <v>620</v>
      </c>
      <c r="L96" s="8" t="s">
        <v>43</v>
      </c>
      <c r="M96" s="25" t="s">
        <v>608</v>
      </c>
      <c r="N96" s="25" t="s">
        <v>608</v>
      </c>
      <c r="O96" s="12" t="s">
        <v>608</v>
      </c>
    </row>
    <row r="97" spans="1:15" ht="43.5" x14ac:dyDescent="0.35">
      <c r="A97" s="29">
        <v>78</v>
      </c>
      <c r="B97" s="7" t="s">
        <v>46</v>
      </c>
      <c r="C97" s="12" t="s">
        <v>34</v>
      </c>
      <c r="D97" s="12" t="s">
        <v>621</v>
      </c>
      <c r="E97" s="4" t="s">
        <v>622</v>
      </c>
      <c r="F97" s="4" t="s">
        <v>623</v>
      </c>
      <c r="G97" s="12" t="s">
        <v>624</v>
      </c>
      <c r="H97" s="12" t="s">
        <v>625</v>
      </c>
      <c r="I97" s="4" t="s">
        <v>460</v>
      </c>
      <c r="J97" s="6" t="s">
        <v>554</v>
      </c>
      <c r="K97" s="8" t="s">
        <v>626</v>
      </c>
      <c r="L97" s="8" t="s">
        <v>43</v>
      </c>
      <c r="M97" s="25" t="s">
        <v>548</v>
      </c>
      <c r="N97" s="25" t="s">
        <v>548</v>
      </c>
      <c r="O97" s="12" t="s">
        <v>41</v>
      </c>
    </row>
    <row r="98" spans="1:15" ht="43.5" x14ac:dyDescent="0.35">
      <c r="A98" s="29">
        <v>219</v>
      </c>
      <c r="B98" s="7" t="s">
        <v>46</v>
      </c>
      <c r="C98" s="12" t="s">
        <v>34</v>
      </c>
      <c r="D98" s="12" t="s">
        <v>627</v>
      </c>
      <c r="E98" s="4" t="s">
        <v>628</v>
      </c>
      <c r="F98" s="4" t="s">
        <v>629</v>
      </c>
      <c r="G98" s="12" t="s">
        <v>630</v>
      </c>
      <c r="H98" s="12" t="s">
        <v>631</v>
      </c>
      <c r="I98" s="4" t="s">
        <v>460</v>
      </c>
      <c r="J98" s="6" t="s">
        <v>554</v>
      </c>
      <c r="K98" s="8" t="s">
        <v>632</v>
      </c>
      <c r="L98" s="8" t="s">
        <v>43</v>
      </c>
      <c r="M98" s="25" t="s">
        <v>608</v>
      </c>
      <c r="N98" s="25" t="s">
        <v>608</v>
      </c>
      <c r="O98" s="12" t="s">
        <v>608</v>
      </c>
    </row>
    <row r="99" spans="1:15" ht="87" x14ac:dyDescent="0.35">
      <c r="A99" s="89">
        <v>211</v>
      </c>
      <c r="B99" s="90" t="s">
        <v>46</v>
      </c>
      <c r="C99" s="91" t="s">
        <v>34</v>
      </c>
      <c r="D99" s="91" t="s">
        <v>633</v>
      </c>
      <c r="E99" s="3" t="s">
        <v>634</v>
      </c>
      <c r="F99" s="3" t="s">
        <v>634</v>
      </c>
      <c r="G99" s="91" t="s">
        <v>635</v>
      </c>
      <c r="H99" s="91" t="s">
        <v>636</v>
      </c>
      <c r="I99" s="3" t="s">
        <v>460</v>
      </c>
      <c r="J99" s="92" t="s">
        <v>554</v>
      </c>
      <c r="K99" s="93" t="s">
        <v>637</v>
      </c>
      <c r="L99" s="93" t="s">
        <v>67</v>
      </c>
      <c r="M99" s="42" t="s">
        <v>548</v>
      </c>
      <c r="N99" s="42" t="s">
        <v>548</v>
      </c>
      <c r="O99" s="91" t="s">
        <v>41</v>
      </c>
    </row>
    <row r="100" spans="1:15" ht="72.5" x14ac:dyDescent="0.35">
      <c r="A100" s="29">
        <v>197</v>
      </c>
      <c r="B100" s="7" t="s">
        <v>46</v>
      </c>
      <c r="C100" s="12" t="s">
        <v>34</v>
      </c>
      <c r="D100" s="12" t="s">
        <v>638</v>
      </c>
      <c r="E100" s="4" t="s">
        <v>639</v>
      </c>
      <c r="F100" s="4" t="s">
        <v>640</v>
      </c>
      <c r="G100" s="12" t="s">
        <v>641</v>
      </c>
      <c r="H100" s="12" t="s">
        <v>642</v>
      </c>
      <c r="I100" s="4" t="s">
        <v>460</v>
      </c>
      <c r="J100" s="6" t="s">
        <v>554</v>
      </c>
      <c r="K100" s="8" t="s">
        <v>643</v>
      </c>
      <c r="L100" s="8" t="s">
        <v>67</v>
      </c>
      <c r="M100" s="25" t="s">
        <v>548</v>
      </c>
      <c r="N100" s="25" t="s">
        <v>548</v>
      </c>
      <c r="O100" s="12" t="s">
        <v>41</v>
      </c>
    </row>
    <row r="101" spans="1:15" s="26" customFormat="1" ht="43.5" x14ac:dyDescent="0.35">
      <c r="A101" s="29">
        <v>320</v>
      </c>
      <c r="B101" s="7" t="s">
        <v>46</v>
      </c>
      <c r="C101" s="12" t="s">
        <v>34</v>
      </c>
      <c r="D101" s="12" t="s">
        <v>644</v>
      </c>
      <c r="E101" s="4" t="s">
        <v>645</v>
      </c>
      <c r="F101" s="4" t="s">
        <v>646</v>
      </c>
      <c r="G101" s="12" t="s">
        <v>647</v>
      </c>
      <c r="H101" s="12" t="s">
        <v>648</v>
      </c>
      <c r="I101" s="4" t="s">
        <v>460</v>
      </c>
      <c r="J101" s="6" t="s">
        <v>554</v>
      </c>
      <c r="K101" s="8" t="s">
        <v>614</v>
      </c>
      <c r="L101" s="8" t="s">
        <v>43</v>
      </c>
      <c r="M101" s="25" t="s">
        <v>608</v>
      </c>
      <c r="N101" s="25" t="s">
        <v>608</v>
      </c>
      <c r="O101" s="12" t="s">
        <v>608</v>
      </c>
    </row>
    <row r="102" spans="1:15" s="26" customFormat="1" ht="43.5" x14ac:dyDescent="0.35">
      <c r="A102" s="29">
        <v>704</v>
      </c>
      <c r="B102" s="7" t="s">
        <v>46</v>
      </c>
      <c r="C102" s="12" t="s">
        <v>34</v>
      </c>
      <c r="D102" s="12" t="s">
        <v>649</v>
      </c>
      <c r="E102" s="4" t="s">
        <v>650</v>
      </c>
      <c r="F102" s="4" t="s">
        <v>650</v>
      </c>
      <c r="G102" s="12" t="s">
        <v>651</v>
      </c>
      <c r="H102" s="12" t="s">
        <v>651</v>
      </c>
      <c r="I102" s="4" t="s">
        <v>460</v>
      </c>
      <c r="J102" s="6" t="s">
        <v>652</v>
      </c>
      <c r="K102" s="8" t="s">
        <v>533</v>
      </c>
      <c r="L102" s="8" t="s">
        <v>43</v>
      </c>
      <c r="M102" s="25" t="s">
        <v>479</v>
      </c>
      <c r="N102" s="25" t="s">
        <v>653</v>
      </c>
      <c r="O102" s="12" t="s">
        <v>41</v>
      </c>
    </row>
    <row r="103" spans="1:15" ht="43.5" x14ac:dyDescent="0.35">
      <c r="A103" s="29">
        <v>216</v>
      </c>
      <c r="B103" s="7" t="s">
        <v>46</v>
      </c>
      <c r="C103" s="12" t="s">
        <v>34</v>
      </c>
      <c r="D103" s="12" t="s">
        <v>654</v>
      </c>
      <c r="E103" s="4" t="s">
        <v>655</v>
      </c>
      <c r="F103" s="4" t="s">
        <v>656</v>
      </c>
      <c r="G103" s="12" t="s">
        <v>657</v>
      </c>
      <c r="H103" s="12" t="s">
        <v>658</v>
      </c>
      <c r="I103" s="4" t="s">
        <v>460</v>
      </c>
      <c r="J103" s="6" t="s">
        <v>554</v>
      </c>
      <c r="K103" s="8" t="s">
        <v>659</v>
      </c>
      <c r="L103" s="30" t="s">
        <v>660</v>
      </c>
      <c r="M103" s="25" t="s">
        <v>548</v>
      </c>
      <c r="N103" s="25" t="s">
        <v>548</v>
      </c>
      <c r="O103" s="12" t="s">
        <v>41</v>
      </c>
    </row>
    <row r="104" spans="1:15" s="26" customFormat="1" ht="43.5" x14ac:dyDescent="0.35">
      <c r="A104" s="29">
        <v>230</v>
      </c>
      <c r="B104" s="7" t="s">
        <v>46</v>
      </c>
      <c r="C104" s="12" t="s">
        <v>34</v>
      </c>
      <c r="D104" s="12" t="s">
        <v>661</v>
      </c>
      <c r="E104" s="4" t="s">
        <v>662</v>
      </c>
      <c r="F104" s="4" t="s">
        <v>663</v>
      </c>
      <c r="G104" s="12" t="s">
        <v>664</v>
      </c>
      <c r="H104" s="12" t="s">
        <v>665</v>
      </c>
      <c r="I104" s="4" t="s">
        <v>460</v>
      </c>
      <c r="J104" s="6" t="s">
        <v>554</v>
      </c>
      <c r="K104" s="8" t="s">
        <v>620</v>
      </c>
      <c r="L104" s="8" t="s">
        <v>43</v>
      </c>
      <c r="M104" s="25" t="s">
        <v>608</v>
      </c>
      <c r="N104" s="25" t="s">
        <v>608</v>
      </c>
      <c r="O104" s="12" t="s">
        <v>608</v>
      </c>
    </row>
    <row r="105" spans="1:15" s="26" customFormat="1" ht="43.5" x14ac:dyDescent="0.35">
      <c r="A105" s="29">
        <v>793</v>
      </c>
      <c r="B105" s="7" t="s">
        <v>46</v>
      </c>
      <c r="C105" s="12" t="s">
        <v>34</v>
      </c>
      <c r="D105" s="12" t="s">
        <v>666</v>
      </c>
      <c r="E105" s="4" t="s">
        <v>667</v>
      </c>
      <c r="F105" s="4" t="s">
        <v>667</v>
      </c>
      <c r="G105" s="12" t="s">
        <v>668</v>
      </c>
      <c r="H105" s="12" t="s">
        <v>668</v>
      </c>
      <c r="I105" s="4" t="s">
        <v>460</v>
      </c>
      <c r="J105" s="6" t="s">
        <v>461</v>
      </c>
      <c r="K105" s="8" t="s">
        <v>669</v>
      </c>
      <c r="L105" s="8" t="s">
        <v>59</v>
      </c>
      <c r="M105" s="25" t="s">
        <v>463</v>
      </c>
      <c r="N105" s="25" t="s">
        <v>670</v>
      </c>
      <c r="O105" s="12" t="s">
        <v>41</v>
      </c>
    </row>
    <row r="106" spans="1:15" ht="43.5" x14ac:dyDescent="0.35">
      <c r="A106" s="29">
        <v>51</v>
      </c>
      <c r="B106" s="7" t="s">
        <v>46</v>
      </c>
      <c r="C106" s="12" t="s">
        <v>34</v>
      </c>
      <c r="D106" s="12" t="s">
        <v>671</v>
      </c>
      <c r="E106" s="4" t="s">
        <v>672</v>
      </c>
      <c r="F106" s="4" t="s">
        <v>672</v>
      </c>
      <c r="G106" s="12" t="s">
        <v>673</v>
      </c>
      <c r="H106" s="12" t="s">
        <v>673</v>
      </c>
      <c r="I106" s="4" t="s">
        <v>460</v>
      </c>
      <c r="J106" s="6" t="s">
        <v>554</v>
      </c>
      <c r="K106" s="8" t="s">
        <v>674</v>
      </c>
      <c r="L106" s="30" t="s">
        <v>67</v>
      </c>
      <c r="M106" s="25" t="s">
        <v>608</v>
      </c>
      <c r="N106" s="25" t="s">
        <v>608</v>
      </c>
      <c r="O106" s="12" t="s">
        <v>608</v>
      </c>
    </row>
    <row r="107" spans="1:15" ht="43.5" x14ac:dyDescent="0.35">
      <c r="A107" s="29">
        <v>56</v>
      </c>
      <c r="B107" s="7" t="s">
        <v>46</v>
      </c>
      <c r="C107" s="12" t="s">
        <v>34</v>
      </c>
      <c r="D107" s="12" t="s">
        <v>675</v>
      </c>
      <c r="E107" s="4" t="s">
        <v>676</v>
      </c>
      <c r="F107" s="4" t="s">
        <v>676</v>
      </c>
      <c r="G107" s="12" t="s">
        <v>677</v>
      </c>
      <c r="H107" s="12" t="s">
        <v>678</v>
      </c>
      <c r="I107" s="4" t="s">
        <v>460</v>
      </c>
      <c r="J107" s="6" t="s">
        <v>554</v>
      </c>
      <c r="K107" s="8" t="s">
        <v>674</v>
      </c>
      <c r="L107" s="30" t="s">
        <v>67</v>
      </c>
      <c r="M107" s="25" t="s">
        <v>608</v>
      </c>
      <c r="N107" s="25" t="s">
        <v>608</v>
      </c>
      <c r="O107" s="12" t="s">
        <v>608</v>
      </c>
    </row>
    <row r="108" spans="1:15" s="26" customFormat="1" ht="43.5" x14ac:dyDescent="0.35">
      <c r="A108" s="29">
        <v>217</v>
      </c>
      <c r="B108" s="7" t="s">
        <v>46</v>
      </c>
      <c r="C108" s="12" t="s">
        <v>34</v>
      </c>
      <c r="D108" s="12" t="s">
        <v>679</v>
      </c>
      <c r="E108" s="4" t="s">
        <v>680</v>
      </c>
      <c r="F108" s="4" t="s">
        <v>681</v>
      </c>
      <c r="G108" s="12" t="s">
        <v>682</v>
      </c>
      <c r="H108" s="12" t="s">
        <v>683</v>
      </c>
      <c r="I108" s="4" t="s">
        <v>460</v>
      </c>
      <c r="J108" s="6" t="s">
        <v>554</v>
      </c>
      <c r="K108" s="8" t="s">
        <v>632</v>
      </c>
      <c r="L108" s="8" t="s">
        <v>43</v>
      </c>
      <c r="M108" s="25" t="s">
        <v>608</v>
      </c>
      <c r="N108" s="25" t="s">
        <v>608</v>
      </c>
      <c r="O108" s="12" t="s">
        <v>608</v>
      </c>
    </row>
    <row r="109" spans="1:15" ht="43.5" x14ac:dyDescent="0.35">
      <c r="A109" s="29">
        <v>510</v>
      </c>
      <c r="B109" s="7" t="s">
        <v>46</v>
      </c>
      <c r="C109" s="12" t="s">
        <v>34</v>
      </c>
      <c r="D109" s="12" t="s">
        <v>684</v>
      </c>
      <c r="E109" s="4" t="s">
        <v>685</v>
      </c>
      <c r="F109" s="4" t="s">
        <v>685</v>
      </c>
      <c r="G109" s="12" t="s">
        <v>686</v>
      </c>
      <c r="H109" s="12" t="s">
        <v>505</v>
      </c>
      <c r="I109" s="4" t="s">
        <v>460</v>
      </c>
      <c r="J109" s="6" t="s">
        <v>493</v>
      </c>
      <c r="K109" s="8" t="s">
        <v>500</v>
      </c>
      <c r="L109" s="30" t="s">
        <v>314</v>
      </c>
      <c r="M109" s="25" t="s">
        <v>479</v>
      </c>
      <c r="N109" s="25" t="s">
        <v>687</v>
      </c>
      <c r="O109" s="12" t="s">
        <v>41</v>
      </c>
    </row>
    <row r="110" spans="1:15" ht="43.5" x14ac:dyDescent="0.35">
      <c r="A110" s="29">
        <v>199</v>
      </c>
      <c r="B110" s="7" t="s">
        <v>46</v>
      </c>
      <c r="C110" s="12" t="s">
        <v>34</v>
      </c>
      <c r="D110" s="12" t="s">
        <v>688</v>
      </c>
      <c r="E110" s="4" t="s">
        <v>689</v>
      </c>
      <c r="F110" s="4" t="s">
        <v>689</v>
      </c>
      <c r="G110" s="12" t="s">
        <v>690</v>
      </c>
      <c r="H110" s="12" t="s">
        <v>691</v>
      </c>
      <c r="I110" s="4" t="s">
        <v>460</v>
      </c>
      <c r="J110" s="6" t="s">
        <v>554</v>
      </c>
      <c r="K110" s="8" t="s">
        <v>692</v>
      </c>
      <c r="L110" s="8" t="s">
        <v>103</v>
      </c>
      <c r="M110" s="25" t="s">
        <v>548</v>
      </c>
      <c r="N110" s="25" t="s">
        <v>548</v>
      </c>
      <c r="O110" s="12" t="s">
        <v>41</v>
      </c>
    </row>
    <row r="111" spans="1:15" ht="43.5" x14ac:dyDescent="0.35">
      <c r="A111" s="29">
        <v>681</v>
      </c>
      <c r="B111" s="7" t="s">
        <v>46</v>
      </c>
      <c r="C111" s="12" t="s">
        <v>34</v>
      </c>
      <c r="D111" s="12" t="s">
        <v>693</v>
      </c>
      <c r="E111" s="4" t="s">
        <v>694</v>
      </c>
      <c r="F111" s="4" t="s">
        <v>694</v>
      </c>
      <c r="G111" s="12" t="s">
        <v>695</v>
      </c>
      <c r="H111" s="12" t="s">
        <v>695</v>
      </c>
      <c r="I111" s="4" t="s">
        <v>460</v>
      </c>
      <c r="J111" s="6" t="s">
        <v>554</v>
      </c>
      <c r="K111" s="8" t="s">
        <v>696</v>
      </c>
      <c r="L111" s="30" t="s">
        <v>67</v>
      </c>
      <c r="M111" s="25" t="s">
        <v>479</v>
      </c>
      <c r="N111" s="25" t="s">
        <v>697</v>
      </c>
      <c r="O111" s="12" t="s">
        <v>41</v>
      </c>
    </row>
    <row r="112" spans="1:15" ht="43.5" x14ac:dyDescent="0.35">
      <c r="A112" s="29">
        <v>319</v>
      </c>
      <c r="B112" s="7" t="s">
        <v>46</v>
      </c>
      <c r="C112" s="12" t="s">
        <v>34</v>
      </c>
      <c r="D112" s="12" t="s">
        <v>698</v>
      </c>
      <c r="E112" s="4" t="s">
        <v>699</v>
      </c>
      <c r="F112" s="4" t="s">
        <v>700</v>
      </c>
      <c r="G112" s="12" t="s">
        <v>701</v>
      </c>
      <c r="H112" s="12" t="s">
        <v>702</v>
      </c>
      <c r="I112" s="4" t="s">
        <v>460</v>
      </c>
      <c r="J112" s="6" t="s">
        <v>554</v>
      </c>
      <c r="K112" s="8" t="s">
        <v>276</v>
      </c>
      <c r="L112" s="8" t="s">
        <v>607</v>
      </c>
      <c r="M112" s="25" t="s">
        <v>608</v>
      </c>
      <c r="N112" s="25" t="s">
        <v>608</v>
      </c>
      <c r="O112" s="12" t="s">
        <v>608</v>
      </c>
    </row>
    <row r="113" spans="1:15" ht="43.5" x14ac:dyDescent="0.35">
      <c r="A113" s="29">
        <v>192</v>
      </c>
      <c r="B113" s="7" t="s">
        <v>46</v>
      </c>
      <c r="C113" s="12" t="s">
        <v>34</v>
      </c>
      <c r="D113" s="12" t="s">
        <v>703</v>
      </c>
      <c r="E113" s="4" t="s">
        <v>704</v>
      </c>
      <c r="F113" s="4" t="s">
        <v>705</v>
      </c>
      <c r="G113" s="12" t="s">
        <v>706</v>
      </c>
      <c r="H113" s="12" t="s">
        <v>707</v>
      </c>
      <c r="I113" s="4" t="s">
        <v>460</v>
      </c>
      <c r="J113" s="6" t="s">
        <v>554</v>
      </c>
      <c r="K113" s="8" t="s">
        <v>708</v>
      </c>
      <c r="L113" s="8" t="s">
        <v>607</v>
      </c>
      <c r="M113" s="25" t="s">
        <v>548</v>
      </c>
      <c r="N113" s="25" t="s">
        <v>548</v>
      </c>
      <c r="O113" s="12" t="s">
        <v>41</v>
      </c>
    </row>
    <row r="114" spans="1:15" ht="43.5" x14ac:dyDescent="0.35">
      <c r="A114" s="29">
        <v>1000</v>
      </c>
      <c r="B114" s="7" t="s">
        <v>46</v>
      </c>
      <c r="C114" s="12" t="s">
        <v>34</v>
      </c>
      <c r="D114" s="12" t="s">
        <v>709</v>
      </c>
      <c r="E114" s="4" t="s">
        <v>710</v>
      </c>
      <c r="F114" s="4" t="s">
        <v>710</v>
      </c>
      <c r="G114" s="12" t="s">
        <v>711</v>
      </c>
      <c r="H114" s="12" t="s">
        <v>711</v>
      </c>
      <c r="I114" s="4" t="s">
        <v>460</v>
      </c>
      <c r="J114" s="6" t="s">
        <v>477</v>
      </c>
      <c r="K114" s="8" t="s">
        <v>539</v>
      </c>
      <c r="L114" s="8" t="s">
        <v>314</v>
      </c>
      <c r="M114" s="25" t="s">
        <v>479</v>
      </c>
      <c r="N114" s="25" t="s">
        <v>712</v>
      </c>
      <c r="O114" s="12" t="s">
        <v>41</v>
      </c>
    </row>
    <row r="115" spans="1:15" ht="43.5" x14ac:dyDescent="0.35">
      <c r="A115" s="29">
        <v>1002</v>
      </c>
      <c r="B115" s="7" t="s">
        <v>46</v>
      </c>
      <c r="C115" s="12" t="s">
        <v>34</v>
      </c>
      <c r="D115" s="12" t="s">
        <v>713</v>
      </c>
      <c r="E115" s="4" t="s">
        <v>714</v>
      </c>
      <c r="F115" s="4" t="s">
        <v>714</v>
      </c>
      <c r="G115" s="12" t="s">
        <v>715</v>
      </c>
      <c r="H115" s="12" t="s">
        <v>715</v>
      </c>
      <c r="I115" s="4" t="s">
        <v>460</v>
      </c>
      <c r="J115" s="6" t="s">
        <v>477</v>
      </c>
      <c r="K115" s="8" t="s">
        <v>716</v>
      </c>
      <c r="L115" s="8" t="s">
        <v>59</v>
      </c>
      <c r="M115" s="25" t="s">
        <v>479</v>
      </c>
      <c r="N115" s="25" t="s">
        <v>717</v>
      </c>
      <c r="O115" s="12" t="s">
        <v>41</v>
      </c>
    </row>
    <row r="116" spans="1:15" ht="43.5" x14ac:dyDescent="0.35">
      <c r="A116" s="29">
        <v>4254</v>
      </c>
      <c r="B116" s="7" t="s">
        <v>46</v>
      </c>
      <c r="C116" s="12" t="s">
        <v>34</v>
      </c>
      <c r="D116" s="12" t="s">
        <v>718</v>
      </c>
      <c r="E116" s="4" t="s">
        <v>719</v>
      </c>
      <c r="F116" s="4" t="s">
        <v>719</v>
      </c>
      <c r="G116" s="12" t="s">
        <v>720</v>
      </c>
      <c r="H116" s="12" t="s">
        <v>720</v>
      </c>
      <c r="I116" s="4" t="s">
        <v>40</v>
      </c>
      <c r="J116" s="6" t="s">
        <v>721</v>
      </c>
      <c r="K116" s="8" t="s">
        <v>722</v>
      </c>
      <c r="L116" s="8" t="s">
        <v>59</v>
      </c>
      <c r="M116" s="25" t="s">
        <v>723</v>
      </c>
      <c r="N116" s="25" t="s">
        <v>724</v>
      </c>
      <c r="O116" s="12" t="s">
        <v>41</v>
      </c>
    </row>
    <row r="117" spans="1:15" ht="43.5" x14ac:dyDescent="0.35">
      <c r="A117" s="29">
        <v>4249</v>
      </c>
      <c r="B117" s="7" t="s">
        <v>46</v>
      </c>
      <c r="C117" s="12" t="s">
        <v>34</v>
      </c>
      <c r="D117" s="12" t="s">
        <v>725</v>
      </c>
      <c r="E117" s="4" t="s">
        <v>726</v>
      </c>
      <c r="F117" s="4" t="s">
        <v>726</v>
      </c>
      <c r="G117" s="12" t="s">
        <v>727</v>
      </c>
      <c r="H117" s="12" t="s">
        <v>727</v>
      </c>
      <c r="I117" s="4" t="s">
        <v>460</v>
      </c>
      <c r="J117" s="6" t="s">
        <v>721</v>
      </c>
      <c r="K117" s="8" t="s">
        <v>66</v>
      </c>
      <c r="L117" s="30" t="s">
        <v>67</v>
      </c>
      <c r="M117" s="25" t="s">
        <v>723</v>
      </c>
      <c r="N117" s="25" t="s">
        <v>728</v>
      </c>
      <c r="O117" s="12" t="s">
        <v>41</v>
      </c>
    </row>
    <row r="118" spans="1:15" x14ac:dyDescent="0.35">
      <c r="A118" s="29">
        <v>313</v>
      </c>
      <c r="B118" s="7" t="s">
        <v>46</v>
      </c>
      <c r="C118" s="12" t="s">
        <v>34</v>
      </c>
      <c r="D118" s="12" t="s">
        <v>729</v>
      </c>
      <c r="E118" s="4" t="s">
        <v>730</v>
      </c>
      <c r="F118" s="4" t="s">
        <v>731</v>
      </c>
      <c r="G118" s="12" t="s">
        <v>732</v>
      </c>
      <c r="H118" s="12" t="s">
        <v>733</v>
      </c>
      <c r="I118" s="4" t="s">
        <v>460</v>
      </c>
      <c r="J118" s="6" t="s">
        <v>554</v>
      </c>
      <c r="K118" s="8" t="s">
        <v>111</v>
      </c>
      <c r="L118" s="8" t="s">
        <v>103</v>
      </c>
      <c r="M118" s="25" t="s">
        <v>608</v>
      </c>
      <c r="N118" s="25" t="s">
        <v>608</v>
      </c>
      <c r="O118" s="12" t="s">
        <v>608</v>
      </c>
    </row>
    <row r="119" spans="1:15" s="26" customFormat="1" ht="101.5" x14ac:dyDescent="0.35">
      <c r="A119" s="29" t="s">
        <v>41</v>
      </c>
      <c r="B119" s="7" t="s">
        <v>46</v>
      </c>
      <c r="C119" s="12" t="s">
        <v>34</v>
      </c>
      <c r="D119" s="12" t="s">
        <v>734</v>
      </c>
      <c r="E119" s="4" t="s">
        <v>735</v>
      </c>
      <c r="F119" s="4" t="s">
        <v>736</v>
      </c>
      <c r="G119" s="12" t="s">
        <v>737</v>
      </c>
      <c r="H119" s="12" t="s">
        <v>738</v>
      </c>
      <c r="I119" s="4" t="s">
        <v>460</v>
      </c>
      <c r="J119" s="6" t="s">
        <v>470</v>
      </c>
      <c r="K119" s="8" t="s">
        <v>739</v>
      </c>
      <c r="L119" s="8" t="s">
        <v>103</v>
      </c>
      <c r="M119" s="25" t="s">
        <v>525</v>
      </c>
      <c r="N119" s="25" t="s">
        <v>735</v>
      </c>
      <c r="O119" s="12" t="s">
        <v>41</v>
      </c>
    </row>
    <row r="120" spans="1:15" x14ac:dyDescent="0.35">
      <c r="A120" s="29">
        <v>1074</v>
      </c>
      <c r="B120" s="86"/>
      <c r="C120" s="85"/>
      <c r="D120" s="85"/>
      <c r="E120" s="85"/>
      <c r="F120" s="85"/>
      <c r="G120" s="85"/>
      <c r="H120" s="85"/>
      <c r="I120" s="85"/>
      <c r="J120" s="83"/>
      <c r="K120" s="83"/>
      <c r="L120" s="88"/>
      <c r="M120" s="84"/>
      <c r="N120" s="84"/>
      <c r="O120" s="85"/>
    </row>
    <row r="121" spans="1:15" x14ac:dyDescent="0.35">
      <c r="A121" s="29">
        <v>126</v>
      </c>
      <c r="B121" s="111" t="s">
        <v>46</v>
      </c>
      <c r="C121" s="123" t="s">
        <v>34</v>
      </c>
      <c r="D121" s="123" t="s">
        <v>740</v>
      </c>
      <c r="E121" s="123" t="s">
        <v>741</v>
      </c>
      <c r="F121" s="123" t="s">
        <v>742</v>
      </c>
      <c r="G121" s="123" t="s">
        <v>743</v>
      </c>
      <c r="H121" s="123" t="s">
        <v>744</v>
      </c>
      <c r="I121" s="123" t="s">
        <v>460</v>
      </c>
      <c r="J121" s="123" t="s">
        <v>554</v>
      </c>
      <c r="K121" s="124" t="s">
        <v>745</v>
      </c>
      <c r="L121" s="124" t="s">
        <v>82</v>
      </c>
      <c r="M121" s="100" t="s">
        <v>548</v>
      </c>
      <c r="N121" s="100" t="s">
        <v>548</v>
      </c>
      <c r="O121" s="123" t="s">
        <v>41</v>
      </c>
    </row>
    <row r="122" spans="1:15" x14ac:dyDescent="0.35">
      <c r="A122" s="29">
        <v>127</v>
      </c>
      <c r="B122" s="121"/>
      <c r="C122" s="113"/>
      <c r="D122" s="113"/>
      <c r="E122" s="113" t="s">
        <v>741</v>
      </c>
      <c r="F122" s="113" t="s">
        <v>742</v>
      </c>
      <c r="G122" s="113" t="s">
        <v>743</v>
      </c>
      <c r="H122" s="113" t="s">
        <v>744</v>
      </c>
      <c r="I122" s="113" t="s">
        <v>460</v>
      </c>
      <c r="J122" s="113" t="s">
        <v>554</v>
      </c>
      <c r="K122" s="119" t="s">
        <v>745</v>
      </c>
      <c r="L122" s="119" t="s">
        <v>82</v>
      </c>
      <c r="M122" s="101"/>
      <c r="N122" s="101"/>
      <c r="O122" s="113"/>
    </row>
    <row r="123" spans="1:15" x14ac:dyDescent="0.35">
      <c r="A123" s="29">
        <v>2870</v>
      </c>
      <c r="B123" s="120"/>
      <c r="C123" s="114"/>
      <c r="D123" s="114"/>
      <c r="E123" s="114"/>
      <c r="F123" s="114"/>
      <c r="G123" s="114"/>
      <c r="H123" s="114"/>
      <c r="I123" s="114"/>
      <c r="J123" s="122"/>
      <c r="K123" s="122"/>
      <c r="L123" s="116"/>
      <c r="M123" s="122"/>
      <c r="N123" s="122"/>
      <c r="O123" s="114"/>
    </row>
    <row r="124" spans="1:15" x14ac:dyDescent="0.35">
      <c r="A124" s="29">
        <v>2971</v>
      </c>
      <c r="B124" s="120"/>
      <c r="C124" s="114"/>
      <c r="D124" s="114"/>
      <c r="E124" s="114"/>
      <c r="F124" s="114"/>
      <c r="G124" s="114"/>
      <c r="H124" s="114"/>
      <c r="I124" s="114"/>
      <c r="J124" s="122"/>
      <c r="K124" s="122"/>
      <c r="L124" s="116"/>
      <c r="M124" s="122"/>
      <c r="N124" s="122"/>
      <c r="O124" s="114"/>
    </row>
    <row r="125" spans="1:15" x14ac:dyDescent="0.35">
      <c r="A125" s="29">
        <v>4381</v>
      </c>
      <c r="B125" s="120"/>
      <c r="C125" s="114"/>
      <c r="D125" s="114"/>
      <c r="E125" s="114"/>
      <c r="F125" s="114"/>
      <c r="G125" s="114"/>
      <c r="H125" s="114"/>
      <c r="I125" s="114"/>
      <c r="J125" s="122"/>
      <c r="K125" s="122"/>
      <c r="L125" s="116"/>
      <c r="M125" s="122"/>
      <c r="N125" s="122"/>
      <c r="O125" s="114"/>
    </row>
    <row r="126" spans="1:15" x14ac:dyDescent="0.35">
      <c r="A126" s="29">
        <v>4383</v>
      </c>
      <c r="B126" s="121"/>
      <c r="C126" s="115"/>
      <c r="D126" s="115"/>
      <c r="E126" s="115"/>
      <c r="F126" s="115"/>
      <c r="G126" s="115"/>
      <c r="H126" s="115"/>
      <c r="I126" s="115"/>
      <c r="J126" s="101"/>
      <c r="K126" s="101"/>
      <c r="L126" s="117"/>
      <c r="M126" s="101"/>
      <c r="N126" s="101"/>
      <c r="O126" s="115"/>
    </row>
    <row r="127" spans="1:15" ht="43.5" x14ac:dyDescent="0.35">
      <c r="A127" s="29">
        <v>231</v>
      </c>
      <c r="B127" s="7" t="s">
        <v>46</v>
      </c>
      <c r="C127" s="12" t="s">
        <v>34</v>
      </c>
      <c r="D127" s="12" t="s">
        <v>746</v>
      </c>
      <c r="E127" s="4" t="s">
        <v>747</v>
      </c>
      <c r="F127" s="4" t="s">
        <v>747</v>
      </c>
      <c r="G127" s="12" t="s">
        <v>748</v>
      </c>
      <c r="H127" s="12" t="s">
        <v>749</v>
      </c>
      <c r="I127" s="4" t="s">
        <v>460</v>
      </c>
      <c r="J127" s="6" t="s">
        <v>554</v>
      </c>
      <c r="K127" s="8" t="s">
        <v>750</v>
      </c>
      <c r="L127" s="8" t="s">
        <v>43</v>
      </c>
      <c r="M127" s="25" t="s">
        <v>608</v>
      </c>
      <c r="N127" s="25" t="s">
        <v>608</v>
      </c>
      <c r="O127" s="12" t="s">
        <v>608</v>
      </c>
    </row>
    <row r="128" spans="1:15" x14ac:dyDescent="0.35">
      <c r="A128" s="54">
        <v>1076</v>
      </c>
      <c r="B128" s="86"/>
      <c r="C128" s="85"/>
      <c r="D128" s="85"/>
      <c r="E128" s="85"/>
      <c r="F128" s="54"/>
      <c r="G128" s="54"/>
      <c r="H128" s="54"/>
      <c r="I128" s="54"/>
      <c r="J128" s="87"/>
      <c r="K128" s="87"/>
      <c r="L128" s="87"/>
      <c r="M128" s="84"/>
      <c r="N128" s="84"/>
      <c r="O128" s="54"/>
    </row>
    <row r="129" spans="1:15" ht="58" x14ac:dyDescent="0.35">
      <c r="A129" s="33">
        <v>213</v>
      </c>
      <c r="B129" s="7" t="s">
        <v>46</v>
      </c>
      <c r="C129" s="12" t="s">
        <v>34</v>
      </c>
      <c r="D129" s="12" t="s">
        <v>751</v>
      </c>
      <c r="E129" s="4" t="s">
        <v>752</v>
      </c>
      <c r="F129" s="4" t="s">
        <v>752</v>
      </c>
      <c r="G129" s="12" t="s">
        <v>753</v>
      </c>
      <c r="H129" s="12" t="s">
        <v>754</v>
      </c>
      <c r="I129" s="4" t="s">
        <v>460</v>
      </c>
      <c r="J129" s="6" t="s">
        <v>755</v>
      </c>
      <c r="K129" s="8" t="s">
        <v>756</v>
      </c>
      <c r="L129" s="8" t="s">
        <v>82</v>
      </c>
      <c r="M129" s="25" t="s">
        <v>525</v>
      </c>
      <c r="N129" s="25" t="s">
        <v>752</v>
      </c>
      <c r="O129" s="12" t="s">
        <v>41</v>
      </c>
    </row>
    <row r="130" spans="1:15" ht="58" x14ac:dyDescent="0.35">
      <c r="A130" s="33">
        <v>785</v>
      </c>
      <c r="B130" s="7"/>
      <c r="C130" s="12" t="s">
        <v>34</v>
      </c>
      <c r="D130" s="12" t="s">
        <v>751</v>
      </c>
      <c r="E130" s="4" t="s">
        <v>752</v>
      </c>
      <c r="F130" s="4" t="s">
        <v>752</v>
      </c>
      <c r="G130" s="12" t="s">
        <v>753</v>
      </c>
      <c r="H130" s="12" t="s">
        <v>754</v>
      </c>
      <c r="I130" s="4" t="s">
        <v>460</v>
      </c>
      <c r="J130" s="6" t="s">
        <v>755</v>
      </c>
      <c r="K130" s="8" t="s">
        <v>756</v>
      </c>
      <c r="L130" s="8" t="s">
        <v>82</v>
      </c>
      <c r="M130" s="25" t="s">
        <v>525</v>
      </c>
      <c r="N130" s="25" t="s">
        <v>752</v>
      </c>
      <c r="O130" s="12" t="s">
        <v>41</v>
      </c>
    </row>
    <row r="131" spans="1:15" ht="130.5" x14ac:dyDescent="0.35">
      <c r="A131" s="33">
        <v>129</v>
      </c>
      <c r="B131" s="7" t="s">
        <v>46</v>
      </c>
      <c r="C131" s="8" t="s">
        <v>34</v>
      </c>
      <c r="D131" s="8" t="s">
        <v>757</v>
      </c>
      <c r="E131" s="6" t="s">
        <v>758</v>
      </c>
      <c r="F131" s="4" t="s">
        <v>758</v>
      </c>
      <c r="G131" s="12" t="s">
        <v>759</v>
      </c>
      <c r="H131" s="8" t="s">
        <v>760</v>
      </c>
      <c r="I131" s="6" t="s">
        <v>460</v>
      </c>
      <c r="J131" s="6" t="s">
        <v>761</v>
      </c>
      <c r="K131" s="8" t="s">
        <v>762</v>
      </c>
      <c r="L131" s="8" t="s">
        <v>43</v>
      </c>
      <c r="M131" s="25" t="s">
        <v>763</v>
      </c>
      <c r="N131" s="25" t="s">
        <v>764</v>
      </c>
      <c r="O131" s="8" t="s">
        <v>41</v>
      </c>
    </row>
    <row r="132" spans="1:15" ht="130.5" x14ac:dyDescent="0.35">
      <c r="A132" s="33">
        <v>146</v>
      </c>
      <c r="B132" s="7"/>
      <c r="C132" s="8" t="s">
        <v>34</v>
      </c>
      <c r="D132" s="8" t="s">
        <v>757</v>
      </c>
      <c r="E132" s="6" t="s">
        <v>758</v>
      </c>
      <c r="F132" s="4" t="s">
        <v>758</v>
      </c>
      <c r="G132" s="12" t="s">
        <v>759</v>
      </c>
      <c r="H132" s="8" t="s">
        <v>760</v>
      </c>
      <c r="I132" s="6" t="s">
        <v>460</v>
      </c>
      <c r="J132" s="6" t="s">
        <v>761</v>
      </c>
      <c r="K132" s="8" t="s">
        <v>762</v>
      </c>
      <c r="L132" s="8" t="s">
        <v>43</v>
      </c>
      <c r="M132" s="25" t="s">
        <v>763</v>
      </c>
      <c r="N132" s="25" t="s">
        <v>764</v>
      </c>
      <c r="O132" s="8" t="s">
        <v>41</v>
      </c>
    </row>
    <row r="133" spans="1:15" ht="130.5" x14ac:dyDescent="0.35">
      <c r="A133" s="33">
        <v>787</v>
      </c>
      <c r="B133" s="7"/>
      <c r="C133" s="8" t="s">
        <v>34</v>
      </c>
      <c r="D133" s="8" t="s">
        <v>757</v>
      </c>
      <c r="E133" s="6" t="s">
        <v>758</v>
      </c>
      <c r="F133" s="4" t="s">
        <v>758</v>
      </c>
      <c r="G133" s="12" t="s">
        <v>759</v>
      </c>
      <c r="H133" s="8" t="s">
        <v>760</v>
      </c>
      <c r="I133" s="6" t="s">
        <v>460</v>
      </c>
      <c r="J133" s="6" t="s">
        <v>761</v>
      </c>
      <c r="K133" s="8" t="s">
        <v>762</v>
      </c>
      <c r="L133" s="8" t="s">
        <v>43</v>
      </c>
      <c r="M133" s="25" t="s">
        <v>763</v>
      </c>
      <c r="N133" s="25" t="s">
        <v>764</v>
      </c>
      <c r="O133" s="8" t="s">
        <v>41</v>
      </c>
    </row>
    <row r="134" spans="1:15" ht="87" x14ac:dyDescent="0.35">
      <c r="A134" s="29">
        <v>213</v>
      </c>
      <c r="B134" s="7" t="s">
        <v>46</v>
      </c>
      <c r="C134" s="12" t="s">
        <v>34</v>
      </c>
      <c r="D134" s="12" t="s">
        <v>765</v>
      </c>
      <c r="E134" s="4" t="s">
        <v>766</v>
      </c>
      <c r="F134" s="4" t="s">
        <v>767</v>
      </c>
      <c r="G134" s="12" t="s">
        <v>768</v>
      </c>
      <c r="H134" s="12" t="s">
        <v>769</v>
      </c>
      <c r="I134" s="4" t="s">
        <v>460</v>
      </c>
      <c r="J134" s="6" t="s">
        <v>770</v>
      </c>
      <c r="K134" s="8" t="s">
        <v>222</v>
      </c>
      <c r="L134" s="8" t="s">
        <v>67</v>
      </c>
      <c r="M134" s="25" t="s">
        <v>525</v>
      </c>
      <c r="N134" s="25" t="s">
        <v>766</v>
      </c>
      <c r="O134" s="12" t="s">
        <v>41</v>
      </c>
    </row>
    <row r="135" spans="1:15" x14ac:dyDescent="0.35">
      <c r="A135" s="29">
        <v>809</v>
      </c>
      <c r="B135" s="120"/>
      <c r="C135" s="112" t="s">
        <v>34</v>
      </c>
      <c r="D135" s="112" t="s">
        <v>765</v>
      </c>
      <c r="E135" s="114" t="s">
        <v>766</v>
      </c>
      <c r="F135" s="114" t="s">
        <v>767</v>
      </c>
      <c r="G135" s="112" t="s">
        <v>768</v>
      </c>
      <c r="H135" s="112" t="s">
        <v>771</v>
      </c>
      <c r="I135" s="114" t="s">
        <v>460</v>
      </c>
      <c r="J135" s="116" t="s">
        <v>772</v>
      </c>
      <c r="K135" s="118" t="s">
        <v>222</v>
      </c>
      <c r="L135" s="118" t="s">
        <v>67</v>
      </c>
      <c r="M135" s="122" t="s">
        <v>773</v>
      </c>
      <c r="N135" s="122" t="s">
        <v>766</v>
      </c>
      <c r="O135" s="112" t="s">
        <v>41</v>
      </c>
    </row>
    <row r="136" spans="1:15" x14ac:dyDescent="0.35">
      <c r="A136" s="29">
        <v>810</v>
      </c>
      <c r="B136" s="120"/>
      <c r="C136" s="112"/>
      <c r="D136" s="112"/>
      <c r="E136" s="114"/>
      <c r="F136" s="114"/>
      <c r="G136" s="112"/>
      <c r="H136" s="112"/>
      <c r="I136" s="114"/>
      <c r="J136" s="116"/>
      <c r="K136" s="118"/>
      <c r="L136" s="118"/>
      <c r="M136" s="122"/>
      <c r="N136" s="122"/>
      <c r="O136" s="112"/>
    </row>
    <row r="137" spans="1:15" x14ac:dyDescent="0.35">
      <c r="A137" s="29">
        <v>1072</v>
      </c>
      <c r="B137" s="121"/>
      <c r="C137" s="113" t="s">
        <v>34</v>
      </c>
      <c r="D137" s="113" t="s">
        <v>765</v>
      </c>
      <c r="E137" s="115" t="s">
        <v>766</v>
      </c>
      <c r="F137" s="115" t="s">
        <v>767</v>
      </c>
      <c r="G137" s="113" t="s">
        <v>768</v>
      </c>
      <c r="H137" s="113" t="s">
        <v>771</v>
      </c>
      <c r="I137" s="115" t="s">
        <v>460</v>
      </c>
      <c r="J137" s="117" t="s">
        <v>772</v>
      </c>
      <c r="K137" s="119" t="s">
        <v>222</v>
      </c>
      <c r="L137" s="119" t="s">
        <v>67</v>
      </c>
      <c r="M137" s="101" t="s">
        <v>773</v>
      </c>
      <c r="N137" s="101" t="s">
        <v>766</v>
      </c>
      <c r="O137" s="113" t="s">
        <v>41</v>
      </c>
    </row>
    <row r="138" spans="1:15" ht="43.5" x14ac:dyDescent="0.35">
      <c r="A138" s="29">
        <v>212</v>
      </c>
      <c r="B138" s="7" t="s">
        <v>46</v>
      </c>
      <c r="C138" s="12" t="s">
        <v>34</v>
      </c>
      <c r="D138" s="12" t="s">
        <v>774</v>
      </c>
      <c r="E138" s="4" t="s">
        <v>775</v>
      </c>
      <c r="F138" s="4" t="s">
        <v>775</v>
      </c>
      <c r="G138" s="12" t="s">
        <v>776</v>
      </c>
      <c r="H138" s="12" t="s">
        <v>777</v>
      </c>
      <c r="I138" s="4" t="s">
        <v>460</v>
      </c>
      <c r="J138" s="6" t="s">
        <v>554</v>
      </c>
      <c r="K138" s="8" t="s">
        <v>276</v>
      </c>
      <c r="L138" s="8" t="s">
        <v>607</v>
      </c>
      <c r="M138" s="25" t="s">
        <v>608</v>
      </c>
      <c r="N138" s="25" t="s">
        <v>608</v>
      </c>
      <c r="O138" s="12" t="s">
        <v>608</v>
      </c>
    </row>
    <row r="139" spans="1:15" ht="43.5" x14ac:dyDescent="0.35">
      <c r="A139" s="29">
        <v>386</v>
      </c>
      <c r="B139" s="7" t="s">
        <v>46</v>
      </c>
      <c r="C139" s="12" t="s">
        <v>778</v>
      </c>
      <c r="D139" s="12" t="s">
        <v>779</v>
      </c>
      <c r="E139" s="4" t="s">
        <v>780</v>
      </c>
      <c r="F139" s="4" t="s">
        <v>780</v>
      </c>
      <c r="G139" s="12" t="s">
        <v>781</v>
      </c>
      <c r="H139" s="12" t="s">
        <v>781</v>
      </c>
      <c r="I139" s="4" t="s">
        <v>40</v>
      </c>
      <c r="J139" s="6" t="s">
        <v>41</v>
      </c>
      <c r="K139" s="8" t="s">
        <v>539</v>
      </c>
      <c r="L139" s="8" t="s">
        <v>43</v>
      </c>
      <c r="M139" s="25" t="s">
        <v>782</v>
      </c>
      <c r="N139" s="25" t="s">
        <v>783</v>
      </c>
      <c r="O139" s="12" t="s">
        <v>41</v>
      </c>
    </row>
    <row r="140" spans="1:15" ht="58" x14ac:dyDescent="0.35">
      <c r="A140" s="29">
        <v>223</v>
      </c>
      <c r="B140" s="7" t="s">
        <v>46</v>
      </c>
      <c r="C140" s="12" t="s">
        <v>778</v>
      </c>
      <c r="D140" s="12" t="s">
        <v>784</v>
      </c>
      <c r="E140" s="4" t="s">
        <v>785</v>
      </c>
      <c r="F140" s="4" t="s">
        <v>786</v>
      </c>
      <c r="G140" s="12" t="s">
        <v>787</v>
      </c>
      <c r="H140" s="12" t="s">
        <v>788</v>
      </c>
      <c r="I140" s="4" t="s">
        <v>40</v>
      </c>
      <c r="J140" s="6" t="s">
        <v>41</v>
      </c>
      <c r="K140" s="8" t="s">
        <v>789</v>
      </c>
      <c r="L140" s="8" t="s">
        <v>43</v>
      </c>
      <c r="M140" s="25" t="s">
        <v>790</v>
      </c>
      <c r="N140" s="25" t="s">
        <v>791</v>
      </c>
      <c r="O140" s="12" t="s">
        <v>41</v>
      </c>
    </row>
    <row r="141" spans="1:15" ht="43.5" x14ac:dyDescent="0.35">
      <c r="A141" s="29">
        <v>222</v>
      </c>
      <c r="B141" s="7" t="s">
        <v>46</v>
      </c>
      <c r="C141" s="12" t="s">
        <v>778</v>
      </c>
      <c r="D141" s="12" t="s">
        <v>792</v>
      </c>
      <c r="E141" s="4" t="s">
        <v>793</v>
      </c>
      <c r="F141" s="4" t="s">
        <v>794</v>
      </c>
      <c r="G141" s="12" t="s">
        <v>795</v>
      </c>
      <c r="H141" s="12" t="s">
        <v>796</v>
      </c>
      <c r="I141" s="4" t="s">
        <v>40</v>
      </c>
      <c r="J141" s="6" t="s">
        <v>41</v>
      </c>
      <c r="K141" s="8" t="s">
        <v>797</v>
      </c>
      <c r="L141" s="8" t="s">
        <v>43</v>
      </c>
      <c r="M141" s="25" t="s">
        <v>798</v>
      </c>
      <c r="N141" s="25" t="s">
        <v>799</v>
      </c>
      <c r="O141" s="12" t="s">
        <v>41</v>
      </c>
    </row>
    <row r="142" spans="1:15" x14ac:dyDescent="0.35">
      <c r="A142" s="29">
        <v>99</v>
      </c>
      <c r="B142" s="7" t="s">
        <v>46</v>
      </c>
      <c r="C142" s="12" t="s">
        <v>778</v>
      </c>
      <c r="D142" s="12" t="s">
        <v>800</v>
      </c>
      <c r="E142" s="21" t="s">
        <v>801</v>
      </c>
      <c r="F142" s="4" t="s">
        <v>802</v>
      </c>
      <c r="G142" s="12" t="s">
        <v>803</v>
      </c>
      <c r="H142" s="12" t="s">
        <v>804</v>
      </c>
      <c r="I142" s="4" t="s">
        <v>40</v>
      </c>
      <c r="J142" s="6" t="s">
        <v>41</v>
      </c>
      <c r="K142" s="8" t="s">
        <v>111</v>
      </c>
      <c r="L142" s="8" t="s">
        <v>103</v>
      </c>
      <c r="M142" s="25" t="s">
        <v>798</v>
      </c>
      <c r="N142" s="25" t="s">
        <v>805</v>
      </c>
      <c r="O142" s="12" t="s">
        <v>806</v>
      </c>
    </row>
    <row r="143" spans="1:15" ht="43.5" x14ac:dyDescent="0.35">
      <c r="A143" s="29">
        <v>4281</v>
      </c>
      <c r="B143" s="7" t="s">
        <v>46</v>
      </c>
      <c r="C143" s="12" t="s">
        <v>778</v>
      </c>
      <c r="D143" s="12" t="s">
        <v>807</v>
      </c>
      <c r="E143" s="4" t="s">
        <v>808</v>
      </c>
      <c r="F143" s="4" t="s">
        <v>808</v>
      </c>
      <c r="G143" s="12" t="s">
        <v>809</v>
      </c>
      <c r="H143" s="12" t="s">
        <v>810</v>
      </c>
      <c r="I143" s="4" t="s">
        <v>40</v>
      </c>
      <c r="J143" s="6" t="s">
        <v>41</v>
      </c>
      <c r="K143" s="8" t="s">
        <v>811</v>
      </c>
      <c r="L143" s="8" t="s">
        <v>43</v>
      </c>
      <c r="M143" s="25" t="s">
        <v>782</v>
      </c>
      <c r="N143" s="25" t="s">
        <v>812</v>
      </c>
      <c r="O143" s="12" t="s">
        <v>41</v>
      </c>
    </row>
    <row r="144" spans="1:15" s="31" customFormat="1" ht="43.5" x14ac:dyDescent="0.35">
      <c r="A144" s="29">
        <v>215</v>
      </c>
      <c r="B144" s="7" t="s">
        <v>46</v>
      </c>
      <c r="C144" s="12" t="s">
        <v>778</v>
      </c>
      <c r="D144" s="12" t="s">
        <v>813</v>
      </c>
      <c r="E144" s="4" t="s">
        <v>814</v>
      </c>
      <c r="F144" s="4" t="s">
        <v>815</v>
      </c>
      <c r="G144" s="12" t="s">
        <v>816</v>
      </c>
      <c r="H144" s="12" t="s">
        <v>817</v>
      </c>
      <c r="I144" s="4" t="s">
        <v>40</v>
      </c>
      <c r="J144" s="6" t="s">
        <v>41</v>
      </c>
      <c r="K144" s="8" t="s">
        <v>818</v>
      </c>
      <c r="L144" s="8" t="s">
        <v>43</v>
      </c>
      <c r="M144" s="25" t="s">
        <v>790</v>
      </c>
      <c r="N144" s="25" t="s">
        <v>819</v>
      </c>
      <c r="O144" s="12" t="s">
        <v>41</v>
      </c>
    </row>
    <row r="145" spans="1:15" ht="43.5" x14ac:dyDescent="0.35">
      <c r="A145" s="29">
        <v>221</v>
      </c>
      <c r="B145" s="7" t="s">
        <v>46</v>
      </c>
      <c r="C145" s="12" t="s">
        <v>778</v>
      </c>
      <c r="D145" s="12" t="s">
        <v>820</v>
      </c>
      <c r="E145" s="4" t="s">
        <v>821</v>
      </c>
      <c r="F145" s="4" t="s">
        <v>822</v>
      </c>
      <c r="G145" s="12" t="s">
        <v>823</v>
      </c>
      <c r="H145" s="12" t="s">
        <v>824</v>
      </c>
      <c r="I145" s="4" t="s">
        <v>40</v>
      </c>
      <c r="J145" s="6" t="s">
        <v>41</v>
      </c>
      <c r="K145" s="8" t="s">
        <v>825</v>
      </c>
      <c r="L145" s="8" t="s">
        <v>43</v>
      </c>
      <c r="M145" s="25" t="s">
        <v>790</v>
      </c>
      <c r="N145" s="25" t="s">
        <v>826</v>
      </c>
      <c r="O145" s="12" t="s">
        <v>41</v>
      </c>
    </row>
    <row r="146" spans="1:15" ht="43.5" x14ac:dyDescent="0.35">
      <c r="A146" s="29">
        <v>86</v>
      </c>
      <c r="B146" s="7" t="s">
        <v>46</v>
      </c>
      <c r="C146" s="12" t="s">
        <v>778</v>
      </c>
      <c r="D146" s="40" t="s">
        <v>827</v>
      </c>
      <c r="E146" s="52" t="s">
        <v>828</v>
      </c>
      <c r="F146" s="52" t="s">
        <v>828</v>
      </c>
      <c r="G146" s="12" t="s">
        <v>829</v>
      </c>
      <c r="H146" s="12" t="s">
        <v>830</v>
      </c>
      <c r="I146" s="4" t="s">
        <v>40</v>
      </c>
      <c r="J146" s="6" t="s">
        <v>41</v>
      </c>
      <c r="K146" s="8" t="s">
        <v>831</v>
      </c>
      <c r="L146" s="8" t="s">
        <v>43</v>
      </c>
      <c r="M146" s="25" t="s">
        <v>782</v>
      </c>
      <c r="N146" s="25" t="s">
        <v>832</v>
      </c>
      <c r="O146" s="12" t="s">
        <v>41</v>
      </c>
    </row>
    <row r="147" spans="1:15" ht="43.5" x14ac:dyDescent="0.35">
      <c r="A147" s="29">
        <v>87</v>
      </c>
      <c r="B147" s="7" t="s">
        <v>46</v>
      </c>
      <c r="C147" s="12" t="s">
        <v>778</v>
      </c>
      <c r="D147" s="40" t="s">
        <v>833</v>
      </c>
      <c r="E147" s="52" t="s">
        <v>834</v>
      </c>
      <c r="F147" s="52" t="s">
        <v>834</v>
      </c>
      <c r="G147" s="24" t="s">
        <v>835</v>
      </c>
      <c r="H147" s="12" t="s">
        <v>830</v>
      </c>
      <c r="I147" s="4" t="s">
        <v>40</v>
      </c>
      <c r="J147" s="6" t="s">
        <v>41</v>
      </c>
      <c r="K147" s="8" t="s">
        <v>836</v>
      </c>
      <c r="L147" s="8" t="s">
        <v>43</v>
      </c>
      <c r="M147" s="25" t="s">
        <v>782</v>
      </c>
      <c r="N147" s="25" t="s">
        <v>837</v>
      </c>
      <c r="O147" s="12" t="s">
        <v>41</v>
      </c>
    </row>
    <row r="148" spans="1:15" ht="43.5" x14ac:dyDescent="0.35">
      <c r="A148" s="29">
        <v>246</v>
      </c>
      <c r="B148" s="7" t="s">
        <v>46</v>
      </c>
      <c r="C148" s="12" t="s">
        <v>34</v>
      </c>
      <c r="D148" s="12" t="s">
        <v>838</v>
      </c>
      <c r="E148" s="4" t="s">
        <v>839</v>
      </c>
      <c r="F148" s="4" t="s">
        <v>840</v>
      </c>
      <c r="G148" s="12" t="s">
        <v>841</v>
      </c>
      <c r="H148" s="12" t="s">
        <v>842</v>
      </c>
      <c r="I148" s="4" t="s">
        <v>40</v>
      </c>
      <c r="J148" s="6" t="s">
        <v>41</v>
      </c>
      <c r="K148" s="8" t="s">
        <v>210</v>
      </c>
      <c r="L148" s="8" t="s">
        <v>43</v>
      </c>
      <c r="M148" s="25" t="s">
        <v>843</v>
      </c>
      <c r="N148" s="25" t="s">
        <v>844</v>
      </c>
      <c r="O148" s="12" t="s">
        <v>845</v>
      </c>
    </row>
    <row r="149" spans="1:15" ht="43.5" x14ac:dyDescent="0.35">
      <c r="A149" s="29">
        <v>4308</v>
      </c>
      <c r="B149" s="7" t="s">
        <v>46</v>
      </c>
      <c r="C149" s="12" t="s">
        <v>34</v>
      </c>
      <c r="D149" s="12" t="s">
        <v>846</v>
      </c>
      <c r="E149" s="4" t="s">
        <v>847</v>
      </c>
      <c r="F149" s="21" t="s">
        <v>847</v>
      </c>
      <c r="G149" s="12" t="s">
        <v>848</v>
      </c>
      <c r="H149" s="12" t="s">
        <v>848</v>
      </c>
      <c r="I149" s="4" t="s">
        <v>40</v>
      </c>
      <c r="J149" s="6" t="s">
        <v>41</v>
      </c>
      <c r="K149" s="30" t="s">
        <v>849</v>
      </c>
      <c r="L149" s="8" t="s">
        <v>43</v>
      </c>
      <c r="M149" s="25" t="s">
        <v>850</v>
      </c>
      <c r="N149" s="25" t="s">
        <v>851</v>
      </c>
      <c r="O149" s="12" t="s">
        <v>41</v>
      </c>
    </row>
    <row r="150" spans="1:15" ht="43.5" x14ac:dyDescent="0.35">
      <c r="A150" s="29">
        <v>503</v>
      </c>
      <c r="B150" s="7" t="s">
        <v>46</v>
      </c>
      <c r="C150" s="12" t="s">
        <v>77</v>
      </c>
      <c r="D150" s="12" t="s">
        <v>852</v>
      </c>
      <c r="E150" s="4" t="s">
        <v>853</v>
      </c>
      <c r="F150" s="4" t="s">
        <v>853</v>
      </c>
      <c r="G150" s="12" t="s">
        <v>854</v>
      </c>
      <c r="H150" s="12" t="s">
        <v>855</v>
      </c>
      <c r="I150" s="4" t="s">
        <v>856</v>
      </c>
      <c r="J150" s="6" t="s">
        <v>41</v>
      </c>
      <c r="K150" s="8" t="s">
        <v>857</v>
      </c>
      <c r="L150" s="8" t="s">
        <v>43</v>
      </c>
      <c r="M150" s="25" t="s">
        <v>60</v>
      </c>
      <c r="N150" s="25" t="s">
        <v>858</v>
      </c>
      <c r="O150" s="12" t="s">
        <v>859</v>
      </c>
    </row>
    <row r="151" spans="1:15" ht="43.5" x14ac:dyDescent="0.35">
      <c r="A151" s="29">
        <v>505</v>
      </c>
      <c r="B151" s="7" t="s">
        <v>46</v>
      </c>
      <c r="C151" s="12" t="s">
        <v>77</v>
      </c>
      <c r="D151" s="12" t="s">
        <v>860</v>
      </c>
      <c r="E151" s="4" t="s">
        <v>861</v>
      </c>
      <c r="F151" s="4" t="s">
        <v>861</v>
      </c>
      <c r="G151" s="12" t="s">
        <v>862</v>
      </c>
      <c r="H151" s="12" t="s">
        <v>855</v>
      </c>
      <c r="I151" s="4" t="s">
        <v>856</v>
      </c>
      <c r="J151" s="6" t="s">
        <v>41</v>
      </c>
      <c r="K151" s="8" t="s">
        <v>696</v>
      </c>
      <c r="L151" s="30" t="s">
        <v>67</v>
      </c>
      <c r="M151" s="25" t="s">
        <v>60</v>
      </c>
      <c r="N151" s="25" t="s">
        <v>863</v>
      </c>
      <c r="O151" s="12" t="s">
        <v>859</v>
      </c>
    </row>
    <row r="152" spans="1:15" ht="29" x14ac:dyDescent="0.35">
      <c r="A152" s="29">
        <v>504</v>
      </c>
      <c r="B152" s="7" t="s">
        <v>46</v>
      </c>
      <c r="C152" s="12" t="s">
        <v>77</v>
      </c>
      <c r="D152" s="12" t="s">
        <v>864</v>
      </c>
      <c r="E152" s="4" t="s">
        <v>865</v>
      </c>
      <c r="F152" s="4" t="s">
        <v>865</v>
      </c>
      <c r="G152" s="12" t="s">
        <v>866</v>
      </c>
      <c r="H152" s="12" t="s">
        <v>855</v>
      </c>
      <c r="I152" s="4" t="s">
        <v>856</v>
      </c>
      <c r="J152" s="6" t="s">
        <v>41</v>
      </c>
      <c r="K152" s="8" t="s">
        <v>867</v>
      </c>
      <c r="L152" s="8" t="s">
        <v>59</v>
      </c>
      <c r="M152" s="25" t="s">
        <v>60</v>
      </c>
      <c r="N152" s="25" t="s">
        <v>868</v>
      </c>
      <c r="O152" s="12" t="s">
        <v>859</v>
      </c>
    </row>
    <row r="153" spans="1:15" ht="43.5" x14ac:dyDescent="0.35">
      <c r="A153" s="29">
        <v>499</v>
      </c>
      <c r="B153" s="7" t="s">
        <v>46</v>
      </c>
      <c r="C153" s="12" t="s">
        <v>77</v>
      </c>
      <c r="D153" s="12" t="s">
        <v>869</v>
      </c>
      <c r="E153" s="4" t="s">
        <v>870</v>
      </c>
      <c r="F153" s="4" t="s">
        <v>870</v>
      </c>
      <c r="G153" s="12" t="s">
        <v>871</v>
      </c>
      <c r="H153" s="12" t="s">
        <v>855</v>
      </c>
      <c r="I153" s="4" t="s">
        <v>856</v>
      </c>
      <c r="J153" s="6" t="s">
        <v>41</v>
      </c>
      <c r="K153" s="8" t="s">
        <v>872</v>
      </c>
      <c r="L153" s="8" t="s">
        <v>59</v>
      </c>
      <c r="M153" s="25" t="s">
        <v>60</v>
      </c>
      <c r="N153" s="25" t="s">
        <v>873</v>
      </c>
      <c r="O153" s="12" t="s">
        <v>859</v>
      </c>
    </row>
    <row r="154" spans="1:15" ht="43.5" x14ac:dyDescent="0.35">
      <c r="A154" s="29">
        <v>502</v>
      </c>
      <c r="B154" s="7" t="s">
        <v>46</v>
      </c>
      <c r="C154" s="12" t="s">
        <v>77</v>
      </c>
      <c r="D154" s="12" t="s">
        <v>874</v>
      </c>
      <c r="E154" s="4" t="s">
        <v>875</v>
      </c>
      <c r="F154" s="4" t="s">
        <v>875</v>
      </c>
      <c r="G154" s="12" t="s">
        <v>876</v>
      </c>
      <c r="H154" s="12" t="s">
        <v>855</v>
      </c>
      <c r="I154" s="4" t="s">
        <v>856</v>
      </c>
      <c r="J154" s="6" t="s">
        <v>41</v>
      </c>
      <c r="K154" s="8" t="s">
        <v>877</v>
      </c>
      <c r="L154" s="8" t="s">
        <v>59</v>
      </c>
      <c r="M154" s="25" t="s">
        <v>60</v>
      </c>
      <c r="N154" s="25" t="s">
        <v>61</v>
      </c>
      <c r="O154" s="12" t="s">
        <v>859</v>
      </c>
    </row>
    <row r="155" spans="1:15" ht="29" x14ac:dyDescent="0.35">
      <c r="A155" s="29">
        <v>147</v>
      </c>
      <c r="B155" s="7" t="s">
        <v>46</v>
      </c>
      <c r="C155" s="12" t="s">
        <v>77</v>
      </c>
      <c r="D155" s="12" t="s">
        <v>878</v>
      </c>
      <c r="E155" s="4" t="s">
        <v>879</v>
      </c>
      <c r="F155" s="4" t="s">
        <v>880</v>
      </c>
      <c r="G155" s="12" t="s">
        <v>881</v>
      </c>
      <c r="H155" s="12" t="s">
        <v>41</v>
      </c>
      <c r="I155" s="4" t="s">
        <v>40</v>
      </c>
      <c r="J155" s="6" t="s">
        <v>41</v>
      </c>
      <c r="K155" s="8" t="s">
        <v>882</v>
      </c>
      <c r="L155" s="8" t="s">
        <v>103</v>
      </c>
      <c r="M155" s="25" t="s">
        <v>883</v>
      </c>
      <c r="N155" s="25" t="s">
        <v>884</v>
      </c>
      <c r="O155" s="12" t="s">
        <v>885</v>
      </c>
    </row>
    <row r="156" spans="1:15" ht="43.5" x14ac:dyDescent="0.35">
      <c r="A156" s="29">
        <v>4302</v>
      </c>
      <c r="B156" s="7" t="s">
        <v>46</v>
      </c>
      <c r="C156" s="12" t="s">
        <v>77</v>
      </c>
      <c r="D156" s="12" t="s">
        <v>886</v>
      </c>
      <c r="E156" s="4" t="s">
        <v>887</v>
      </c>
      <c r="F156" s="4" t="s">
        <v>887</v>
      </c>
      <c r="G156" s="12" t="s">
        <v>888</v>
      </c>
      <c r="H156" s="12" t="s">
        <v>888</v>
      </c>
      <c r="I156" s="4" t="s">
        <v>40</v>
      </c>
      <c r="J156" s="6" t="s">
        <v>41</v>
      </c>
      <c r="K156" s="8" t="s">
        <v>66</v>
      </c>
      <c r="L156" s="30" t="s">
        <v>67</v>
      </c>
      <c r="M156" s="25" t="s">
        <v>889</v>
      </c>
      <c r="N156" s="25" t="s">
        <v>890</v>
      </c>
      <c r="O156" s="12" t="s">
        <v>41</v>
      </c>
    </row>
    <row r="157" spans="1:15" ht="43.5" x14ac:dyDescent="0.35">
      <c r="A157" s="29">
        <v>4301</v>
      </c>
      <c r="B157" s="7" t="s">
        <v>46</v>
      </c>
      <c r="C157" s="12" t="s">
        <v>77</v>
      </c>
      <c r="D157" s="12" t="s">
        <v>891</v>
      </c>
      <c r="E157" s="4" t="s">
        <v>892</v>
      </c>
      <c r="F157" s="4" t="s">
        <v>892</v>
      </c>
      <c r="G157" s="12" t="s">
        <v>893</v>
      </c>
      <c r="H157" s="12" t="s">
        <v>893</v>
      </c>
      <c r="I157" s="4" t="s">
        <v>40</v>
      </c>
      <c r="J157" s="6" t="s">
        <v>41</v>
      </c>
      <c r="K157" s="8" t="s">
        <v>894</v>
      </c>
      <c r="L157" s="8" t="s">
        <v>43</v>
      </c>
      <c r="M157" s="25" t="s">
        <v>889</v>
      </c>
      <c r="N157" s="25" t="s">
        <v>895</v>
      </c>
      <c r="O157" s="12" t="s">
        <v>41</v>
      </c>
    </row>
    <row r="158" spans="1:15" ht="43.5" x14ac:dyDescent="0.35">
      <c r="A158" s="29">
        <v>4241</v>
      </c>
      <c r="B158" s="7" t="s">
        <v>46</v>
      </c>
      <c r="C158" s="12" t="s">
        <v>778</v>
      </c>
      <c r="D158" s="12" t="s">
        <v>896</v>
      </c>
      <c r="E158" s="4" t="s">
        <v>897</v>
      </c>
      <c r="F158" s="4" t="s">
        <v>897</v>
      </c>
      <c r="G158" s="12" t="s">
        <v>898</v>
      </c>
      <c r="H158" s="12" t="s">
        <v>898</v>
      </c>
      <c r="I158" s="4" t="s">
        <v>40</v>
      </c>
      <c r="J158" s="6" t="s">
        <v>41</v>
      </c>
      <c r="K158" s="8" t="s">
        <v>899</v>
      </c>
      <c r="L158" s="8" t="s">
        <v>43</v>
      </c>
      <c r="M158" s="25" t="s">
        <v>900</v>
      </c>
      <c r="N158" s="25" t="s">
        <v>901</v>
      </c>
      <c r="O158" s="12" t="s">
        <v>41</v>
      </c>
    </row>
    <row r="159" spans="1:15" ht="43.5" x14ac:dyDescent="0.35">
      <c r="A159" s="29">
        <v>4240</v>
      </c>
      <c r="B159" s="7" t="s">
        <v>46</v>
      </c>
      <c r="C159" s="12" t="s">
        <v>778</v>
      </c>
      <c r="D159" s="12" t="s">
        <v>902</v>
      </c>
      <c r="E159" s="4" t="s">
        <v>903</v>
      </c>
      <c r="F159" s="21" t="s">
        <v>903</v>
      </c>
      <c r="G159" s="12" t="s">
        <v>904</v>
      </c>
      <c r="H159" s="12" t="s">
        <v>905</v>
      </c>
      <c r="I159" s="4" t="s">
        <v>40</v>
      </c>
      <c r="J159" s="6" t="s">
        <v>41</v>
      </c>
      <c r="K159" s="8" t="s">
        <v>906</v>
      </c>
      <c r="L159" s="8" t="s">
        <v>43</v>
      </c>
      <c r="M159" s="25" t="s">
        <v>900</v>
      </c>
      <c r="N159" s="25" t="s">
        <v>907</v>
      </c>
      <c r="O159" s="12" t="s">
        <v>41</v>
      </c>
    </row>
    <row r="160" spans="1:15" ht="43.5" x14ac:dyDescent="0.35">
      <c r="A160" s="29">
        <v>683</v>
      </c>
      <c r="B160" s="7" t="s">
        <v>46</v>
      </c>
      <c r="C160" s="12" t="s">
        <v>778</v>
      </c>
      <c r="D160" s="12" t="s">
        <v>908</v>
      </c>
      <c r="E160" s="4" t="s">
        <v>909</v>
      </c>
      <c r="F160" s="4" t="s">
        <v>909</v>
      </c>
      <c r="G160" s="12" t="s">
        <v>910</v>
      </c>
      <c r="H160" s="12" t="s">
        <v>910</v>
      </c>
      <c r="I160" s="4" t="s">
        <v>40</v>
      </c>
      <c r="J160" s="6" t="s">
        <v>41</v>
      </c>
      <c r="K160" s="8" t="s">
        <v>911</v>
      </c>
      <c r="L160" s="8" t="s">
        <v>59</v>
      </c>
      <c r="M160" s="25" t="s">
        <v>900</v>
      </c>
      <c r="N160" s="25" t="s">
        <v>912</v>
      </c>
      <c r="O160" s="12" t="s">
        <v>41</v>
      </c>
    </row>
    <row r="161" spans="1:15" ht="43.5" x14ac:dyDescent="0.35">
      <c r="A161" s="29">
        <v>602</v>
      </c>
      <c r="B161" s="7" t="s">
        <v>46</v>
      </c>
      <c r="C161" s="12" t="s">
        <v>778</v>
      </c>
      <c r="D161" s="12" t="s">
        <v>913</v>
      </c>
      <c r="E161" s="4" t="s">
        <v>914</v>
      </c>
      <c r="F161" s="4" t="s">
        <v>914</v>
      </c>
      <c r="G161" s="12" t="s">
        <v>915</v>
      </c>
      <c r="H161" s="12" t="s">
        <v>916</v>
      </c>
      <c r="I161" s="4" t="s">
        <v>40</v>
      </c>
      <c r="J161" s="6" t="s">
        <v>41</v>
      </c>
      <c r="K161" s="8" t="s">
        <v>917</v>
      </c>
      <c r="L161" s="8" t="s">
        <v>43</v>
      </c>
      <c r="M161" s="25" t="s">
        <v>900</v>
      </c>
      <c r="N161" s="25" t="s">
        <v>918</v>
      </c>
      <c r="O161" s="12" t="s">
        <v>41</v>
      </c>
    </row>
    <row r="162" spans="1:15" ht="43.5" x14ac:dyDescent="0.35">
      <c r="A162" s="29">
        <v>4246</v>
      </c>
      <c r="B162" s="7" t="s">
        <v>46</v>
      </c>
      <c r="C162" s="12" t="s">
        <v>778</v>
      </c>
      <c r="D162" s="12" t="s">
        <v>919</v>
      </c>
      <c r="E162" s="4" t="s">
        <v>920</v>
      </c>
      <c r="F162" s="4" t="s">
        <v>920</v>
      </c>
      <c r="G162" s="12" t="s">
        <v>921</v>
      </c>
      <c r="H162" s="32" t="s">
        <v>921</v>
      </c>
      <c r="I162" s="4" t="s">
        <v>40</v>
      </c>
      <c r="J162" s="6" t="s">
        <v>41</v>
      </c>
      <c r="K162" s="8" t="s">
        <v>922</v>
      </c>
      <c r="L162" s="8" t="s">
        <v>43</v>
      </c>
      <c r="M162" s="25" t="s">
        <v>900</v>
      </c>
      <c r="N162" s="25" t="s">
        <v>923</v>
      </c>
      <c r="O162" s="12" t="s">
        <v>41</v>
      </c>
    </row>
    <row r="163" spans="1:15" ht="29" x14ac:dyDescent="0.35">
      <c r="A163" s="29">
        <v>539</v>
      </c>
      <c r="B163" s="7" t="s">
        <v>46</v>
      </c>
      <c r="C163" s="12" t="s">
        <v>778</v>
      </c>
      <c r="D163" s="12" t="s">
        <v>924</v>
      </c>
      <c r="E163" s="4" t="s">
        <v>925</v>
      </c>
      <c r="F163" s="4" t="s">
        <v>925</v>
      </c>
      <c r="G163" s="12" t="s">
        <v>926</v>
      </c>
      <c r="H163" s="12" t="s">
        <v>927</v>
      </c>
      <c r="I163" s="4" t="s">
        <v>40</v>
      </c>
      <c r="J163" s="6" t="s">
        <v>41</v>
      </c>
      <c r="K163" s="8" t="s">
        <v>102</v>
      </c>
      <c r="L163" s="8" t="s">
        <v>103</v>
      </c>
      <c r="M163" s="25" t="s">
        <v>163</v>
      </c>
      <c r="N163" s="25" t="s">
        <v>41</v>
      </c>
      <c r="O163" s="12" t="s">
        <v>928</v>
      </c>
    </row>
    <row r="164" spans="1:15" ht="43.5" x14ac:dyDescent="0.35">
      <c r="A164" s="29">
        <v>538</v>
      </c>
      <c r="B164" s="7" t="s">
        <v>46</v>
      </c>
      <c r="C164" s="12" t="s">
        <v>778</v>
      </c>
      <c r="D164" s="12" t="s">
        <v>929</v>
      </c>
      <c r="E164" s="4" t="s">
        <v>930</v>
      </c>
      <c r="F164" s="4" t="s">
        <v>930</v>
      </c>
      <c r="G164" s="12" t="s">
        <v>931</v>
      </c>
      <c r="H164" s="12" t="s">
        <v>932</v>
      </c>
      <c r="I164" s="4" t="s">
        <v>40</v>
      </c>
      <c r="J164" s="6" t="s">
        <v>41</v>
      </c>
      <c r="K164" s="8" t="s">
        <v>696</v>
      </c>
      <c r="L164" s="30" t="s">
        <v>67</v>
      </c>
      <c r="M164" s="25" t="s">
        <v>163</v>
      </c>
      <c r="N164" s="25" t="s">
        <v>933</v>
      </c>
      <c r="O164" s="12" t="s">
        <v>934</v>
      </c>
    </row>
    <row r="165" spans="1:15" ht="43.5" x14ac:dyDescent="0.35">
      <c r="A165" s="29">
        <v>26503</v>
      </c>
      <c r="B165" s="7" t="s">
        <v>46</v>
      </c>
      <c r="C165" s="12" t="s">
        <v>778</v>
      </c>
      <c r="D165" s="12" t="s">
        <v>935</v>
      </c>
      <c r="E165" s="4" t="s">
        <v>936</v>
      </c>
      <c r="F165" s="4" t="s">
        <v>936</v>
      </c>
      <c r="G165" s="12" t="s">
        <v>937</v>
      </c>
      <c r="H165" s="12" t="s">
        <v>937</v>
      </c>
      <c r="I165" s="4" t="s">
        <v>40</v>
      </c>
      <c r="J165" s="6" t="s">
        <v>41</v>
      </c>
      <c r="K165" s="8" t="s">
        <v>938</v>
      </c>
      <c r="L165" s="30" t="s">
        <v>314</v>
      </c>
      <c r="M165" s="25" t="s">
        <v>900</v>
      </c>
      <c r="N165" s="25" t="s">
        <v>939</v>
      </c>
      <c r="O165" s="12" t="s">
        <v>41</v>
      </c>
    </row>
    <row r="166" spans="1:15" ht="43.5" x14ac:dyDescent="0.35">
      <c r="A166" s="29">
        <v>26505</v>
      </c>
      <c r="B166" s="7" t="s">
        <v>46</v>
      </c>
      <c r="C166" s="12" t="s">
        <v>778</v>
      </c>
      <c r="D166" s="12" t="s">
        <v>940</v>
      </c>
      <c r="E166" s="4" t="s">
        <v>941</v>
      </c>
      <c r="F166" s="4" t="s">
        <v>941</v>
      </c>
      <c r="G166" s="12" t="s">
        <v>942</v>
      </c>
      <c r="H166" s="12" t="s">
        <v>942</v>
      </c>
      <c r="I166" s="4" t="s">
        <v>40</v>
      </c>
      <c r="J166" s="6" t="s">
        <v>41</v>
      </c>
      <c r="K166" s="8" t="s">
        <v>938</v>
      </c>
      <c r="L166" s="30" t="s">
        <v>314</v>
      </c>
      <c r="M166" s="25" t="s">
        <v>900</v>
      </c>
      <c r="N166" s="25" t="s">
        <v>943</v>
      </c>
      <c r="O166" s="12" t="s">
        <v>41</v>
      </c>
    </row>
    <row r="167" spans="1:15" ht="43.5" x14ac:dyDescent="0.35">
      <c r="A167" s="29">
        <v>26504</v>
      </c>
      <c r="B167" s="7" t="s">
        <v>46</v>
      </c>
      <c r="C167" s="12" t="s">
        <v>778</v>
      </c>
      <c r="D167" s="12" t="s">
        <v>944</v>
      </c>
      <c r="E167" s="4" t="s">
        <v>945</v>
      </c>
      <c r="F167" s="4" t="s">
        <v>945</v>
      </c>
      <c r="G167" s="12" t="s">
        <v>946</v>
      </c>
      <c r="H167" s="12" t="s">
        <v>947</v>
      </c>
      <c r="I167" s="4" t="s">
        <v>40</v>
      </c>
      <c r="J167" s="6" t="s">
        <v>41</v>
      </c>
      <c r="K167" s="8" t="s">
        <v>938</v>
      </c>
      <c r="L167" s="30" t="s">
        <v>314</v>
      </c>
      <c r="M167" s="25" t="s">
        <v>900</v>
      </c>
      <c r="N167" s="25" t="s">
        <v>948</v>
      </c>
      <c r="O167" s="12" t="s">
        <v>41</v>
      </c>
    </row>
    <row r="168" spans="1:15" ht="43.5" x14ac:dyDescent="0.35">
      <c r="A168" s="29">
        <v>680</v>
      </c>
      <c r="B168" s="7" t="s">
        <v>46</v>
      </c>
      <c r="C168" s="12" t="s">
        <v>778</v>
      </c>
      <c r="D168" s="12" t="s">
        <v>949</v>
      </c>
      <c r="E168" s="4" t="s">
        <v>950</v>
      </c>
      <c r="F168" s="4" t="s">
        <v>950</v>
      </c>
      <c r="G168" s="12" t="s">
        <v>951</v>
      </c>
      <c r="H168" s="12" t="s">
        <v>952</v>
      </c>
      <c r="I168" s="4" t="s">
        <v>40</v>
      </c>
      <c r="J168" s="6" t="s">
        <v>41</v>
      </c>
      <c r="K168" s="8" t="s">
        <v>953</v>
      </c>
      <c r="L168" s="8" t="s">
        <v>59</v>
      </c>
      <c r="M168" s="25" t="s">
        <v>900</v>
      </c>
      <c r="N168" s="25" t="s">
        <v>954</v>
      </c>
      <c r="O168" s="12" t="s">
        <v>41</v>
      </c>
    </row>
    <row r="169" spans="1:15" ht="43.5" x14ac:dyDescent="0.35">
      <c r="A169" s="29">
        <v>534</v>
      </c>
      <c r="B169" s="7" t="s">
        <v>46</v>
      </c>
      <c r="C169" s="12" t="s">
        <v>778</v>
      </c>
      <c r="D169" s="12" t="s">
        <v>955</v>
      </c>
      <c r="E169" s="4" t="s">
        <v>956</v>
      </c>
      <c r="F169" s="4" t="s">
        <v>956</v>
      </c>
      <c r="G169" s="12" t="s">
        <v>957</v>
      </c>
      <c r="H169" s="12" t="s">
        <v>957</v>
      </c>
      <c r="I169" s="4" t="s">
        <v>40</v>
      </c>
      <c r="J169" s="6" t="s">
        <v>41</v>
      </c>
      <c r="K169" s="8" t="s">
        <v>958</v>
      </c>
      <c r="L169" s="8" t="s">
        <v>43</v>
      </c>
      <c r="M169" s="25" t="s">
        <v>900</v>
      </c>
      <c r="N169" s="25" t="s">
        <v>959</v>
      </c>
      <c r="O169" s="12" t="s">
        <v>41</v>
      </c>
    </row>
    <row r="170" spans="1:15" ht="43.5" x14ac:dyDescent="0.35">
      <c r="A170" s="29">
        <v>4239</v>
      </c>
      <c r="B170" s="7" t="s">
        <v>46</v>
      </c>
      <c r="C170" s="12" t="s">
        <v>778</v>
      </c>
      <c r="D170" s="12" t="s">
        <v>960</v>
      </c>
      <c r="E170" s="4" t="s">
        <v>961</v>
      </c>
      <c r="F170" s="4" t="s">
        <v>961</v>
      </c>
      <c r="G170" s="12" t="s">
        <v>962</v>
      </c>
      <c r="H170" s="12" t="s">
        <v>963</v>
      </c>
      <c r="I170" s="4" t="s">
        <v>40</v>
      </c>
      <c r="J170" s="6" t="s">
        <v>41</v>
      </c>
      <c r="K170" s="8" t="s">
        <v>964</v>
      </c>
      <c r="L170" s="8" t="s">
        <v>43</v>
      </c>
      <c r="M170" s="25" t="s">
        <v>900</v>
      </c>
      <c r="N170" s="25" t="s">
        <v>965</v>
      </c>
      <c r="O170" s="12" t="s">
        <v>41</v>
      </c>
    </row>
    <row r="171" spans="1:15" ht="43.5" x14ac:dyDescent="0.35">
      <c r="A171" s="29">
        <v>531</v>
      </c>
      <c r="B171" s="7" t="s">
        <v>46</v>
      </c>
      <c r="C171" s="12" t="s">
        <v>778</v>
      </c>
      <c r="D171" s="12" t="s">
        <v>966</v>
      </c>
      <c r="E171" s="4" t="s">
        <v>967</v>
      </c>
      <c r="F171" s="4" t="s">
        <v>967</v>
      </c>
      <c r="G171" s="12" t="s">
        <v>968</v>
      </c>
      <c r="H171" s="12" t="s">
        <v>969</v>
      </c>
      <c r="I171" s="4" t="s">
        <v>40</v>
      </c>
      <c r="J171" s="6" t="s">
        <v>41</v>
      </c>
      <c r="K171" s="8" t="s">
        <v>696</v>
      </c>
      <c r="L171" s="30" t="s">
        <v>67</v>
      </c>
      <c r="M171" s="25" t="s">
        <v>163</v>
      </c>
      <c r="N171" s="25" t="s">
        <v>933</v>
      </c>
      <c r="O171" s="12" t="s">
        <v>970</v>
      </c>
    </row>
    <row r="172" spans="1:15" ht="43.5" x14ac:dyDescent="0.35">
      <c r="A172" s="29">
        <v>532</v>
      </c>
      <c r="B172" s="7" t="s">
        <v>46</v>
      </c>
      <c r="C172" s="12" t="s">
        <v>778</v>
      </c>
      <c r="D172" s="12" t="s">
        <v>971</v>
      </c>
      <c r="E172" s="4" t="s">
        <v>972</v>
      </c>
      <c r="F172" s="4" t="s">
        <v>972</v>
      </c>
      <c r="G172" s="12" t="s">
        <v>973</v>
      </c>
      <c r="H172" s="12" t="s">
        <v>974</v>
      </c>
      <c r="I172" s="4" t="s">
        <v>40</v>
      </c>
      <c r="J172" s="6" t="s">
        <v>41</v>
      </c>
      <c r="K172" s="8" t="s">
        <v>696</v>
      </c>
      <c r="L172" s="30" t="s">
        <v>67</v>
      </c>
      <c r="M172" s="25" t="s">
        <v>163</v>
      </c>
      <c r="N172" s="25" t="s">
        <v>933</v>
      </c>
      <c r="O172" s="12" t="s">
        <v>975</v>
      </c>
    </row>
    <row r="173" spans="1:15" ht="43.5" x14ac:dyDescent="0.35">
      <c r="A173" s="29">
        <v>533</v>
      </c>
      <c r="B173" s="7" t="s">
        <v>46</v>
      </c>
      <c r="C173" s="12" t="s">
        <v>778</v>
      </c>
      <c r="D173" s="12" t="s">
        <v>976</v>
      </c>
      <c r="E173" s="4" t="s">
        <v>977</v>
      </c>
      <c r="F173" s="4" t="s">
        <v>977</v>
      </c>
      <c r="G173" s="12" t="s">
        <v>978</v>
      </c>
      <c r="H173" s="12" t="s">
        <v>979</v>
      </c>
      <c r="I173" s="4" t="s">
        <v>40</v>
      </c>
      <c r="J173" s="6" t="s">
        <v>41</v>
      </c>
      <c r="K173" s="8" t="s">
        <v>980</v>
      </c>
      <c r="L173" s="30" t="s">
        <v>67</v>
      </c>
      <c r="M173" s="25" t="s">
        <v>163</v>
      </c>
      <c r="N173" s="25" t="s">
        <v>933</v>
      </c>
      <c r="O173" s="12" t="s">
        <v>981</v>
      </c>
    </row>
    <row r="174" spans="1:15" ht="43.5" x14ac:dyDescent="0.35">
      <c r="A174" s="29">
        <v>4398</v>
      </c>
      <c r="B174" s="7" t="s">
        <v>46</v>
      </c>
      <c r="C174" s="12" t="s">
        <v>778</v>
      </c>
      <c r="D174" s="12" t="s">
        <v>982</v>
      </c>
      <c r="E174" s="4" t="s">
        <v>983</v>
      </c>
      <c r="F174" s="4" t="s">
        <v>983</v>
      </c>
      <c r="G174" s="12" t="s">
        <v>984</v>
      </c>
      <c r="H174" s="12" t="s">
        <v>984</v>
      </c>
      <c r="I174" s="4" t="s">
        <v>40</v>
      </c>
      <c r="J174" s="6" t="s">
        <v>41</v>
      </c>
      <c r="K174" s="8" t="s">
        <v>985</v>
      </c>
      <c r="L174" s="8" t="s">
        <v>59</v>
      </c>
      <c r="M174" s="25" t="s">
        <v>163</v>
      </c>
      <c r="N174" s="25" t="s">
        <v>986</v>
      </c>
      <c r="O174" s="12" t="s">
        <v>987</v>
      </c>
    </row>
    <row r="175" spans="1:15" ht="43.5" x14ac:dyDescent="0.35">
      <c r="A175" s="29">
        <v>383</v>
      </c>
      <c r="B175" s="7" t="s">
        <v>46</v>
      </c>
      <c r="C175" s="12" t="s">
        <v>778</v>
      </c>
      <c r="D175" s="12" t="s">
        <v>988</v>
      </c>
      <c r="E175" s="4" t="s">
        <v>989</v>
      </c>
      <c r="F175" s="4" t="s">
        <v>989</v>
      </c>
      <c r="G175" s="12" t="s">
        <v>990</v>
      </c>
      <c r="H175" s="12" t="s">
        <v>990</v>
      </c>
      <c r="I175" s="4" t="s">
        <v>40</v>
      </c>
      <c r="J175" s="6" t="s">
        <v>41</v>
      </c>
      <c r="K175" s="8" t="s">
        <v>991</v>
      </c>
      <c r="L175" s="8" t="s">
        <v>43</v>
      </c>
      <c r="M175" s="25" t="s">
        <v>163</v>
      </c>
      <c r="N175" s="25" t="s">
        <v>992</v>
      </c>
      <c r="O175" s="12" t="s">
        <v>993</v>
      </c>
    </row>
    <row r="176" spans="1:15" ht="43.5" x14ac:dyDescent="0.35">
      <c r="A176" s="29">
        <v>382</v>
      </c>
      <c r="B176" s="7" t="s">
        <v>46</v>
      </c>
      <c r="C176" s="12" t="s">
        <v>778</v>
      </c>
      <c r="D176" s="12" t="s">
        <v>994</v>
      </c>
      <c r="E176" s="4" t="s">
        <v>995</v>
      </c>
      <c r="F176" s="4" t="s">
        <v>995</v>
      </c>
      <c r="G176" s="12" t="s">
        <v>996</v>
      </c>
      <c r="H176" s="12" t="s">
        <v>996</v>
      </c>
      <c r="I176" s="4" t="s">
        <v>40</v>
      </c>
      <c r="J176" s="6" t="s">
        <v>41</v>
      </c>
      <c r="K176" s="8" t="s">
        <v>997</v>
      </c>
      <c r="L176" s="30" t="s">
        <v>67</v>
      </c>
      <c r="M176" s="25" t="s">
        <v>163</v>
      </c>
      <c r="N176" s="25" t="s">
        <v>933</v>
      </c>
      <c r="O176" s="12" t="s">
        <v>998</v>
      </c>
    </row>
    <row r="177" spans="1:15" ht="43.5" x14ac:dyDescent="0.35">
      <c r="A177" s="29">
        <v>381</v>
      </c>
      <c r="B177" s="7" t="s">
        <v>46</v>
      </c>
      <c r="C177" s="12" t="s">
        <v>778</v>
      </c>
      <c r="D177" s="12" t="s">
        <v>999</v>
      </c>
      <c r="E177" s="4" t="s">
        <v>1000</v>
      </c>
      <c r="F177" s="4" t="s">
        <v>1000</v>
      </c>
      <c r="G177" s="12" t="s">
        <v>1001</v>
      </c>
      <c r="H177" s="12" t="s">
        <v>1002</v>
      </c>
      <c r="I177" s="4" t="s">
        <v>40</v>
      </c>
      <c r="J177" s="6" t="s">
        <v>41</v>
      </c>
      <c r="K177" s="8" t="s">
        <v>1003</v>
      </c>
      <c r="L177" s="30" t="s">
        <v>67</v>
      </c>
      <c r="M177" s="25" t="s">
        <v>163</v>
      </c>
      <c r="N177" s="25" t="s">
        <v>933</v>
      </c>
      <c r="O177" s="12" t="s">
        <v>1004</v>
      </c>
    </row>
    <row r="178" spans="1:15" ht="43.5" x14ac:dyDescent="0.35">
      <c r="A178" s="29">
        <v>540</v>
      </c>
      <c r="B178" s="7" t="s">
        <v>46</v>
      </c>
      <c r="C178" s="12" t="s">
        <v>778</v>
      </c>
      <c r="D178" s="12" t="s">
        <v>1005</v>
      </c>
      <c r="E178" s="4" t="s">
        <v>1006</v>
      </c>
      <c r="F178" s="4" t="s">
        <v>1006</v>
      </c>
      <c r="G178" s="12" t="s">
        <v>1007</v>
      </c>
      <c r="H178" s="12" t="s">
        <v>1008</v>
      </c>
      <c r="I178" s="4" t="s">
        <v>40</v>
      </c>
      <c r="J178" s="6" t="s">
        <v>41</v>
      </c>
      <c r="K178" s="8" t="s">
        <v>696</v>
      </c>
      <c r="L178" s="30" t="s">
        <v>67</v>
      </c>
      <c r="M178" s="25" t="s">
        <v>163</v>
      </c>
      <c r="N178" s="25" t="s">
        <v>933</v>
      </c>
      <c r="O178" s="12" t="s">
        <v>1009</v>
      </c>
    </row>
    <row r="179" spans="1:15" ht="43.5" x14ac:dyDescent="0.35">
      <c r="A179" s="29">
        <v>537</v>
      </c>
      <c r="B179" s="7" t="s">
        <v>46</v>
      </c>
      <c r="C179" s="12" t="s">
        <v>778</v>
      </c>
      <c r="D179" s="12" t="s">
        <v>1010</v>
      </c>
      <c r="E179" s="4" t="s">
        <v>1011</v>
      </c>
      <c r="F179" s="4" t="s">
        <v>1011</v>
      </c>
      <c r="G179" s="12" t="s">
        <v>1012</v>
      </c>
      <c r="H179" s="12" t="s">
        <v>1013</v>
      </c>
      <c r="I179" s="4" t="s">
        <v>40</v>
      </c>
      <c r="J179" s="6" t="s">
        <v>41</v>
      </c>
      <c r="K179" s="8" t="s">
        <v>696</v>
      </c>
      <c r="L179" s="30" t="s">
        <v>67</v>
      </c>
      <c r="M179" s="25" t="s">
        <v>163</v>
      </c>
      <c r="N179" s="25" t="s">
        <v>933</v>
      </c>
      <c r="O179" s="12" t="s">
        <v>1014</v>
      </c>
    </row>
    <row r="180" spans="1:15" ht="43.5" x14ac:dyDescent="0.35">
      <c r="A180" s="29">
        <v>2994</v>
      </c>
      <c r="B180" s="7" t="s">
        <v>46</v>
      </c>
      <c r="C180" s="12" t="s">
        <v>778</v>
      </c>
      <c r="D180" s="12" t="s">
        <v>1015</v>
      </c>
      <c r="E180" s="4" t="s">
        <v>1016</v>
      </c>
      <c r="F180" s="4" t="s">
        <v>1016</v>
      </c>
      <c r="G180" s="12" t="s">
        <v>1017</v>
      </c>
      <c r="H180" s="12" t="s">
        <v>1017</v>
      </c>
      <c r="I180" s="4" t="s">
        <v>40</v>
      </c>
      <c r="J180" s="6" t="s">
        <v>41</v>
      </c>
      <c r="K180" s="8" t="s">
        <v>222</v>
      </c>
      <c r="L180" s="8" t="s">
        <v>67</v>
      </c>
      <c r="M180" s="25" t="s">
        <v>1018</v>
      </c>
      <c r="N180" s="25" t="s">
        <v>1019</v>
      </c>
      <c r="O180" s="12" t="s">
        <v>41</v>
      </c>
    </row>
    <row r="181" spans="1:15" ht="43.5" x14ac:dyDescent="0.35">
      <c r="A181" s="29">
        <v>4280</v>
      </c>
      <c r="B181" s="7" t="s">
        <v>46</v>
      </c>
      <c r="C181" s="12" t="s">
        <v>778</v>
      </c>
      <c r="D181" s="12" t="s">
        <v>1020</v>
      </c>
      <c r="E181" s="4" t="s">
        <v>1021</v>
      </c>
      <c r="F181" s="4" t="s">
        <v>1021</v>
      </c>
      <c r="G181" s="12" t="s">
        <v>1022</v>
      </c>
      <c r="H181" s="12" t="s">
        <v>1023</v>
      </c>
      <c r="I181" s="4" t="s">
        <v>40</v>
      </c>
      <c r="J181" s="6" t="s">
        <v>41</v>
      </c>
      <c r="K181" s="8" t="s">
        <v>1024</v>
      </c>
      <c r="L181" s="8" t="s">
        <v>43</v>
      </c>
      <c r="M181" s="25" t="s">
        <v>900</v>
      </c>
      <c r="N181" s="25" t="s">
        <v>1025</v>
      </c>
      <c r="O181" s="12" t="s">
        <v>41</v>
      </c>
    </row>
    <row r="182" spans="1:15" ht="43.5" x14ac:dyDescent="0.35">
      <c r="A182" s="29">
        <v>4402</v>
      </c>
      <c r="B182" s="7" t="s">
        <v>46</v>
      </c>
      <c r="C182" s="12" t="s">
        <v>778</v>
      </c>
      <c r="D182" s="12" t="s">
        <v>1026</v>
      </c>
      <c r="E182" s="4" t="s">
        <v>1027</v>
      </c>
      <c r="F182" s="4" t="s">
        <v>1027</v>
      </c>
      <c r="G182" s="12" t="s">
        <v>1028</v>
      </c>
      <c r="H182" s="12" t="s">
        <v>1029</v>
      </c>
      <c r="I182" s="4" t="s">
        <v>40</v>
      </c>
      <c r="J182" s="6" t="s">
        <v>41</v>
      </c>
      <c r="K182" s="8" t="s">
        <v>1003</v>
      </c>
      <c r="L182" s="30" t="s">
        <v>67</v>
      </c>
      <c r="M182" s="25" t="s">
        <v>163</v>
      </c>
      <c r="N182" s="25" t="s">
        <v>933</v>
      </c>
      <c r="O182" s="12" t="s">
        <v>1030</v>
      </c>
    </row>
    <row r="183" spans="1:15" ht="43.5" x14ac:dyDescent="0.35">
      <c r="A183" s="29">
        <v>4316</v>
      </c>
      <c r="B183" s="7" t="s">
        <v>46</v>
      </c>
      <c r="C183" s="12" t="s">
        <v>778</v>
      </c>
      <c r="D183" s="12" t="s">
        <v>1031</v>
      </c>
      <c r="E183" s="4" t="s">
        <v>1032</v>
      </c>
      <c r="F183" s="4" t="s">
        <v>1032</v>
      </c>
      <c r="G183" s="12" t="s">
        <v>1033</v>
      </c>
      <c r="H183" s="12" t="s">
        <v>1033</v>
      </c>
      <c r="I183" s="4" t="s">
        <v>40</v>
      </c>
      <c r="J183" s="6" t="s">
        <v>41</v>
      </c>
      <c r="K183" s="8" t="s">
        <v>938</v>
      </c>
      <c r="L183" s="30" t="s">
        <v>314</v>
      </c>
      <c r="M183" s="25" t="s">
        <v>900</v>
      </c>
      <c r="N183" s="25" t="s">
        <v>1034</v>
      </c>
      <c r="O183" s="12" t="s">
        <v>41</v>
      </c>
    </row>
    <row r="184" spans="1:15" ht="43.5" x14ac:dyDescent="0.35">
      <c r="A184" s="29">
        <v>26502</v>
      </c>
      <c r="B184" s="7" t="s">
        <v>46</v>
      </c>
      <c r="C184" s="12" t="s">
        <v>778</v>
      </c>
      <c r="D184" s="12" t="s">
        <v>1035</v>
      </c>
      <c r="E184" s="4" t="s">
        <v>1036</v>
      </c>
      <c r="F184" s="4" t="s">
        <v>1036</v>
      </c>
      <c r="G184" s="12" t="s">
        <v>1037</v>
      </c>
      <c r="H184" s="12" t="s">
        <v>1037</v>
      </c>
      <c r="I184" s="4" t="s">
        <v>40</v>
      </c>
      <c r="J184" s="6" t="s">
        <v>41</v>
      </c>
      <c r="K184" s="8" t="s">
        <v>938</v>
      </c>
      <c r="L184" s="30" t="s">
        <v>314</v>
      </c>
      <c r="M184" s="25" t="s">
        <v>900</v>
      </c>
      <c r="N184" s="25" t="s">
        <v>1038</v>
      </c>
      <c r="O184" s="12" t="s">
        <v>41</v>
      </c>
    </row>
    <row r="185" spans="1:15" ht="43.5" x14ac:dyDescent="0.35">
      <c r="A185" s="29">
        <v>26501</v>
      </c>
      <c r="B185" s="7" t="s">
        <v>46</v>
      </c>
      <c r="C185" s="12" t="s">
        <v>778</v>
      </c>
      <c r="D185" s="12" t="s">
        <v>1039</v>
      </c>
      <c r="E185" s="4" t="s">
        <v>1040</v>
      </c>
      <c r="F185" s="4" t="s">
        <v>1040</v>
      </c>
      <c r="G185" s="12" t="s">
        <v>1041</v>
      </c>
      <c r="H185" s="12" t="s">
        <v>1041</v>
      </c>
      <c r="I185" s="4" t="s">
        <v>40</v>
      </c>
      <c r="J185" s="6" t="s">
        <v>41</v>
      </c>
      <c r="K185" s="8" t="s">
        <v>938</v>
      </c>
      <c r="L185" s="30" t="s">
        <v>314</v>
      </c>
      <c r="M185" s="25" t="s">
        <v>900</v>
      </c>
      <c r="N185" s="25" t="s">
        <v>1042</v>
      </c>
      <c r="O185" s="12" t="s">
        <v>41</v>
      </c>
    </row>
    <row r="186" spans="1:15" ht="43.5" x14ac:dyDescent="0.35">
      <c r="A186" s="29">
        <v>516</v>
      </c>
      <c r="B186" s="7" t="s">
        <v>46</v>
      </c>
      <c r="C186" s="12" t="s">
        <v>778</v>
      </c>
      <c r="D186" s="12" t="s">
        <v>1043</v>
      </c>
      <c r="E186" s="4" t="s">
        <v>1044</v>
      </c>
      <c r="F186" s="4" t="s">
        <v>1044</v>
      </c>
      <c r="G186" s="12" t="s">
        <v>1045</v>
      </c>
      <c r="H186" s="12" t="s">
        <v>1045</v>
      </c>
      <c r="I186" s="4" t="s">
        <v>40</v>
      </c>
      <c r="J186" s="6" t="s">
        <v>41</v>
      </c>
      <c r="K186" s="8" t="s">
        <v>1046</v>
      </c>
      <c r="L186" s="30" t="s">
        <v>135</v>
      </c>
      <c r="M186" s="25" t="s">
        <v>900</v>
      </c>
      <c r="N186" s="25" t="s">
        <v>1047</v>
      </c>
      <c r="O186" s="12" t="s">
        <v>41</v>
      </c>
    </row>
    <row r="187" spans="1:15" ht="43.5" x14ac:dyDescent="0.35">
      <c r="A187" s="29">
        <v>530</v>
      </c>
      <c r="B187" s="7" t="s">
        <v>46</v>
      </c>
      <c r="C187" s="12" t="s">
        <v>778</v>
      </c>
      <c r="D187" s="12" t="s">
        <v>1048</v>
      </c>
      <c r="E187" s="4" t="s">
        <v>1049</v>
      </c>
      <c r="F187" s="4" t="s">
        <v>1049</v>
      </c>
      <c r="G187" s="12" t="s">
        <v>1050</v>
      </c>
      <c r="H187" s="12" t="s">
        <v>1050</v>
      </c>
      <c r="I187" s="4" t="s">
        <v>40</v>
      </c>
      <c r="J187" s="6" t="s">
        <v>41</v>
      </c>
      <c r="K187" s="8" t="s">
        <v>1046</v>
      </c>
      <c r="L187" s="30" t="s">
        <v>135</v>
      </c>
      <c r="M187" s="25" t="s">
        <v>900</v>
      </c>
      <c r="N187" s="25" t="s">
        <v>1051</v>
      </c>
      <c r="O187" s="12" t="s">
        <v>41</v>
      </c>
    </row>
    <row r="188" spans="1:15" ht="43.5" x14ac:dyDescent="0.35">
      <c r="A188" s="29">
        <v>512</v>
      </c>
      <c r="B188" s="7" t="s">
        <v>46</v>
      </c>
      <c r="C188" s="12" t="s">
        <v>778</v>
      </c>
      <c r="D188" s="12" t="s">
        <v>1052</v>
      </c>
      <c r="E188" s="4" t="s">
        <v>1053</v>
      </c>
      <c r="F188" s="4" t="s">
        <v>1053</v>
      </c>
      <c r="G188" s="12" t="s">
        <v>1054</v>
      </c>
      <c r="H188" s="12" t="s">
        <v>1054</v>
      </c>
      <c r="I188" s="4" t="s">
        <v>40</v>
      </c>
      <c r="J188" s="6" t="s">
        <v>41</v>
      </c>
      <c r="K188" s="8" t="s">
        <v>1046</v>
      </c>
      <c r="L188" s="30" t="s">
        <v>135</v>
      </c>
      <c r="M188" s="25" t="s">
        <v>900</v>
      </c>
      <c r="N188" s="25" t="s">
        <v>1055</v>
      </c>
      <c r="O188" s="12" t="s">
        <v>41</v>
      </c>
    </row>
    <row r="189" spans="1:15" ht="43.5" x14ac:dyDescent="0.35">
      <c r="A189" s="29">
        <v>529</v>
      </c>
      <c r="B189" s="7" t="s">
        <v>46</v>
      </c>
      <c r="C189" s="12" t="s">
        <v>778</v>
      </c>
      <c r="D189" s="12" t="s">
        <v>1056</v>
      </c>
      <c r="E189" s="4" t="s">
        <v>1057</v>
      </c>
      <c r="F189" s="4" t="s">
        <v>1057</v>
      </c>
      <c r="G189" s="12" t="s">
        <v>1058</v>
      </c>
      <c r="H189" s="12" t="s">
        <v>1058</v>
      </c>
      <c r="I189" s="4" t="s">
        <v>40</v>
      </c>
      <c r="J189" s="6" t="s">
        <v>41</v>
      </c>
      <c r="K189" s="8" t="s">
        <v>1046</v>
      </c>
      <c r="L189" s="30" t="s">
        <v>135</v>
      </c>
      <c r="M189" s="25" t="s">
        <v>900</v>
      </c>
      <c r="N189" s="25" t="s">
        <v>1059</v>
      </c>
      <c r="O189" s="12" t="s">
        <v>41</v>
      </c>
    </row>
    <row r="190" spans="1:15" ht="43.5" x14ac:dyDescent="0.35">
      <c r="A190" s="29">
        <v>511</v>
      </c>
      <c r="B190" s="7" t="s">
        <v>46</v>
      </c>
      <c r="C190" s="12" t="s">
        <v>778</v>
      </c>
      <c r="D190" s="12" t="s">
        <v>1060</v>
      </c>
      <c r="E190" s="4" t="s">
        <v>1061</v>
      </c>
      <c r="F190" s="4" t="s">
        <v>1061</v>
      </c>
      <c r="G190" s="12" t="s">
        <v>1062</v>
      </c>
      <c r="H190" s="12" t="s">
        <v>1062</v>
      </c>
      <c r="I190" s="4" t="s">
        <v>40</v>
      </c>
      <c r="J190" s="6" t="s">
        <v>41</v>
      </c>
      <c r="K190" s="8" t="s">
        <v>958</v>
      </c>
      <c r="L190" s="8" t="s">
        <v>43</v>
      </c>
      <c r="M190" s="25" t="s">
        <v>900</v>
      </c>
      <c r="N190" s="25" t="s">
        <v>1063</v>
      </c>
      <c r="O190" s="12" t="s">
        <v>41</v>
      </c>
    </row>
    <row r="191" spans="1:15" ht="43.5" x14ac:dyDescent="0.35">
      <c r="A191" s="29">
        <v>4426</v>
      </c>
      <c r="B191" s="7" t="s">
        <v>46</v>
      </c>
      <c r="C191" s="12" t="s">
        <v>778</v>
      </c>
      <c r="D191" s="12" t="s">
        <v>1064</v>
      </c>
      <c r="E191" s="4" t="s">
        <v>1065</v>
      </c>
      <c r="F191" s="4" t="s">
        <v>1065</v>
      </c>
      <c r="G191" s="12" t="s">
        <v>1066</v>
      </c>
      <c r="H191" s="12" t="s">
        <v>1066</v>
      </c>
      <c r="I191" s="4" t="s">
        <v>40</v>
      </c>
      <c r="J191" s="6" t="s">
        <v>41</v>
      </c>
      <c r="K191" s="8" t="s">
        <v>1067</v>
      </c>
      <c r="L191" s="30" t="s">
        <v>314</v>
      </c>
      <c r="M191" s="25" t="s">
        <v>900</v>
      </c>
      <c r="N191" s="25" t="s">
        <v>1068</v>
      </c>
      <c r="O191" s="12" t="s">
        <v>41</v>
      </c>
    </row>
    <row r="192" spans="1:15" ht="43.5" x14ac:dyDescent="0.35">
      <c r="A192" s="29">
        <v>314</v>
      </c>
      <c r="B192" s="7" t="s">
        <v>46</v>
      </c>
      <c r="C192" s="12" t="s">
        <v>778</v>
      </c>
      <c r="D192" s="12" t="s">
        <v>1069</v>
      </c>
      <c r="E192" s="4" t="s">
        <v>1070</v>
      </c>
      <c r="F192" s="4" t="s">
        <v>1070</v>
      </c>
      <c r="G192" s="12" t="s">
        <v>1071</v>
      </c>
      <c r="H192" s="12" t="s">
        <v>1072</v>
      </c>
      <c r="I192" s="4" t="s">
        <v>40</v>
      </c>
      <c r="J192" s="6" t="s">
        <v>41</v>
      </c>
      <c r="K192" s="8" t="s">
        <v>1073</v>
      </c>
      <c r="L192" s="8" t="s">
        <v>59</v>
      </c>
      <c r="M192" s="25" t="s">
        <v>1074</v>
      </c>
      <c r="N192" s="25" t="s">
        <v>1075</v>
      </c>
      <c r="O192" s="12" t="s">
        <v>1076</v>
      </c>
    </row>
    <row r="193" spans="1:15" ht="43.5" x14ac:dyDescent="0.35">
      <c r="A193" s="29">
        <v>494</v>
      </c>
      <c r="B193" s="7" t="s">
        <v>46</v>
      </c>
      <c r="C193" s="12" t="s">
        <v>778</v>
      </c>
      <c r="D193" s="12" t="s">
        <v>1077</v>
      </c>
      <c r="E193" s="4" t="s">
        <v>55</v>
      </c>
      <c r="F193" s="4" t="s">
        <v>55</v>
      </c>
      <c r="G193" s="12" t="s">
        <v>1078</v>
      </c>
      <c r="H193" s="12" t="s">
        <v>1079</v>
      </c>
      <c r="I193" s="4" t="s">
        <v>40</v>
      </c>
      <c r="J193" s="6" t="s">
        <v>41</v>
      </c>
      <c r="K193" s="8" t="s">
        <v>58</v>
      </c>
      <c r="L193" s="8" t="s">
        <v>59</v>
      </c>
      <c r="M193" s="25" t="s">
        <v>60</v>
      </c>
      <c r="N193" s="25" t="s">
        <v>61</v>
      </c>
      <c r="O193" s="12" t="s">
        <v>1080</v>
      </c>
    </row>
    <row r="194" spans="1:15" ht="43.5" x14ac:dyDescent="0.35">
      <c r="A194" s="29">
        <v>497</v>
      </c>
      <c r="B194" s="7" t="s">
        <v>46</v>
      </c>
      <c r="C194" s="12" t="s">
        <v>778</v>
      </c>
      <c r="D194" s="12" t="s">
        <v>1081</v>
      </c>
      <c r="E194" s="4" t="s">
        <v>64</v>
      </c>
      <c r="F194" s="4" t="s">
        <v>64</v>
      </c>
      <c r="G194" s="12" t="s">
        <v>1082</v>
      </c>
      <c r="H194" s="12" t="s">
        <v>1079</v>
      </c>
      <c r="I194" s="4" t="s">
        <v>40</v>
      </c>
      <c r="J194" s="6" t="s">
        <v>41</v>
      </c>
      <c r="K194" s="8" t="s">
        <v>696</v>
      </c>
      <c r="L194" s="30" t="s">
        <v>67</v>
      </c>
      <c r="M194" s="25" t="s">
        <v>60</v>
      </c>
      <c r="N194" s="25" t="s">
        <v>1083</v>
      </c>
      <c r="O194" s="12" t="s">
        <v>1080</v>
      </c>
    </row>
    <row r="195" spans="1:15" ht="43.5" x14ac:dyDescent="0.35">
      <c r="A195" s="29">
        <v>496</v>
      </c>
      <c r="B195" s="7" t="s">
        <v>46</v>
      </c>
      <c r="C195" s="12" t="s">
        <v>778</v>
      </c>
      <c r="D195" s="12" t="s">
        <v>1084</v>
      </c>
      <c r="E195" s="4" t="s">
        <v>70</v>
      </c>
      <c r="F195" s="4" t="s">
        <v>70</v>
      </c>
      <c r="G195" s="12" t="s">
        <v>1085</v>
      </c>
      <c r="H195" s="12" t="s">
        <v>1079</v>
      </c>
      <c r="I195" s="4" t="s">
        <v>40</v>
      </c>
      <c r="J195" s="6" t="s">
        <v>41</v>
      </c>
      <c r="K195" s="8" t="s">
        <v>696</v>
      </c>
      <c r="L195" s="30" t="s">
        <v>67</v>
      </c>
      <c r="M195" s="25" t="s">
        <v>60</v>
      </c>
      <c r="N195" s="25" t="s">
        <v>68</v>
      </c>
      <c r="O195" s="12" t="s">
        <v>1080</v>
      </c>
    </row>
    <row r="196" spans="1:15" ht="43.5" x14ac:dyDescent="0.35">
      <c r="A196" s="29">
        <v>495</v>
      </c>
      <c r="B196" s="7" t="s">
        <v>46</v>
      </c>
      <c r="C196" s="12" t="s">
        <v>778</v>
      </c>
      <c r="D196" s="12" t="s">
        <v>1086</v>
      </c>
      <c r="E196" s="4" t="s">
        <v>73</v>
      </c>
      <c r="F196" s="4" t="s">
        <v>73</v>
      </c>
      <c r="G196" s="12" t="s">
        <v>1087</v>
      </c>
      <c r="H196" s="12" t="s">
        <v>1079</v>
      </c>
      <c r="I196" s="4" t="s">
        <v>40</v>
      </c>
      <c r="J196" s="6" t="s">
        <v>41</v>
      </c>
      <c r="K196" s="8" t="s">
        <v>958</v>
      </c>
      <c r="L196" s="8" t="s">
        <v>43</v>
      </c>
      <c r="M196" s="25" t="s">
        <v>60</v>
      </c>
      <c r="N196" s="25" t="s">
        <v>76</v>
      </c>
      <c r="O196" s="12" t="s">
        <v>1080</v>
      </c>
    </row>
    <row r="197" spans="1:15" ht="43.5" x14ac:dyDescent="0.35">
      <c r="A197" s="29">
        <v>4237</v>
      </c>
      <c r="B197" s="7" t="s">
        <v>46</v>
      </c>
      <c r="C197" s="12" t="s">
        <v>778</v>
      </c>
      <c r="D197" s="12" t="s">
        <v>1088</v>
      </c>
      <c r="E197" s="4" t="s">
        <v>1089</v>
      </c>
      <c r="F197" s="4" t="s">
        <v>1089</v>
      </c>
      <c r="G197" s="12" t="s">
        <v>1090</v>
      </c>
      <c r="H197" s="12" t="s">
        <v>1090</v>
      </c>
      <c r="I197" s="4" t="s">
        <v>40</v>
      </c>
      <c r="J197" s="6" t="s">
        <v>41</v>
      </c>
      <c r="K197" s="8" t="s">
        <v>1091</v>
      </c>
      <c r="L197" s="30" t="s">
        <v>314</v>
      </c>
      <c r="M197" s="25" t="s">
        <v>900</v>
      </c>
      <c r="N197" s="25" t="s">
        <v>1092</v>
      </c>
      <c r="O197" s="12" t="s">
        <v>41</v>
      </c>
    </row>
    <row r="198" spans="1:15" ht="43.5" x14ac:dyDescent="0.35">
      <c r="A198" s="33">
        <v>4305</v>
      </c>
      <c r="B198" s="7" t="s">
        <v>46</v>
      </c>
      <c r="C198" s="12" t="s">
        <v>778</v>
      </c>
      <c r="D198" s="12" t="s">
        <v>1093</v>
      </c>
      <c r="E198" s="4" t="s">
        <v>1094</v>
      </c>
      <c r="F198" s="4" t="s">
        <v>1094</v>
      </c>
      <c r="G198" s="12" t="s">
        <v>1095</v>
      </c>
      <c r="H198" s="12" t="s">
        <v>1095</v>
      </c>
      <c r="I198" s="4" t="s">
        <v>40</v>
      </c>
      <c r="J198" s="6" t="s">
        <v>41</v>
      </c>
      <c r="K198" s="8" t="s">
        <v>579</v>
      </c>
      <c r="L198" s="8" t="s">
        <v>67</v>
      </c>
      <c r="M198" s="25" t="s">
        <v>900</v>
      </c>
      <c r="N198" s="25" t="s">
        <v>1096</v>
      </c>
      <c r="O198" s="12" t="s">
        <v>41</v>
      </c>
    </row>
    <row r="199" spans="1:15" ht="43.5" x14ac:dyDescent="0.35">
      <c r="A199" s="33">
        <v>449</v>
      </c>
      <c r="B199" s="7"/>
      <c r="C199" s="12" t="s">
        <v>778</v>
      </c>
      <c r="D199" s="12" t="s">
        <v>1093</v>
      </c>
      <c r="E199" s="4" t="s">
        <v>1094</v>
      </c>
      <c r="F199" s="4" t="s">
        <v>1094</v>
      </c>
      <c r="G199" s="12" t="s">
        <v>1095</v>
      </c>
      <c r="H199" s="12" t="s">
        <v>1095</v>
      </c>
      <c r="I199" s="4" t="s">
        <v>40</v>
      </c>
      <c r="J199" s="6" t="s">
        <v>41</v>
      </c>
      <c r="K199" s="8" t="s">
        <v>579</v>
      </c>
      <c r="L199" s="8" t="s">
        <v>67</v>
      </c>
      <c r="M199" s="25" t="s">
        <v>900</v>
      </c>
      <c r="N199" s="25" t="s">
        <v>1096</v>
      </c>
      <c r="O199" s="12" t="s">
        <v>41</v>
      </c>
    </row>
    <row r="200" spans="1:15" ht="43.5" x14ac:dyDescent="0.35">
      <c r="A200" s="33">
        <v>450</v>
      </c>
      <c r="B200" s="7" t="s">
        <v>46</v>
      </c>
      <c r="C200" s="12" t="s">
        <v>778</v>
      </c>
      <c r="D200" s="12" t="s">
        <v>1097</v>
      </c>
      <c r="E200" s="4" t="s">
        <v>1098</v>
      </c>
      <c r="F200" s="4" t="s">
        <v>1098</v>
      </c>
      <c r="G200" s="12" t="s">
        <v>1099</v>
      </c>
      <c r="H200" s="12" t="s">
        <v>1099</v>
      </c>
      <c r="I200" s="4" t="s">
        <v>40</v>
      </c>
      <c r="J200" s="6" t="s">
        <v>41</v>
      </c>
      <c r="K200" s="8" t="s">
        <v>1100</v>
      </c>
      <c r="L200" s="8" t="s">
        <v>59</v>
      </c>
      <c r="M200" s="25" t="s">
        <v>900</v>
      </c>
      <c r="N200" s="25" t="s">
        <v>1101</v>
      </c>
      <c r="O200" s="12" t="s">
        <v>41</v>
      </c>
    </row>
    <row r="201" spans="1:15" ht="43.5" x14ac:dyDescent="0.35">
      <c r="A201" s="33">
        <v>380</v>
      </c>
      <c r="B201" s="7"/>
      <c r="C201" s="12" t="s">
        <v>778</v>
      </c>
      <c r="D201" s="12" t="s">
        <v>1097</v>
      </c>
      <c r="E201" s="4" t="s">
        <v>1098</v>
      </c>
      <c r="F201" s="4" t="s">
        <v>1098</v>
      </c>
      <c r="G201" s="12" t="s">
        <v>1099</v>
      </c>
      <c r="H201" s="12" t="s">
        <v>1099</v>
      </c>
      <c r="I201" s="4" t="s">
        <v>40</v>
      </c>
      <c r="J201" s="6" t="s">
        <v>41</v>
      </c>
      <c r="K201" s="8" t="s">
        <v>1100</v>
      </c>
      <c r="L201" s="8" t="s">
        <v>59</v>
      </c>
      <c r="M201" s="25" t="s">
        <v>900</v>
      </c>
      <c r="N201" s="25" t="s">
        <v>1101</v>
      </c>
      <c r="O201" s="12" t="s">
        <v>41</v>
      </c>
    </row>
    <row r="202" spans="1:15" x14ac:dyDescent="0.35">
      <c r="A202" s="33">
        <v>419</v>
      </c>
      <c r="B202" s="111" t="s">
        <v>46</v>
      </c>
      <c r="C202" s="123" t="s">
        <v>778</v>
      </c>
      <c r="D202" s="123" t="s">
        <v>1102</v>
      </c>
      <c r="E202" s="130" t="s">
        <v>1103</v>
      </c>
      <c r="F202" s="130" t="s">
        <v>1103</v>
      </c>
      <c r="G202" s="123" t="s">
        <v>1104</v>
      </c>
      <c r="H202" s="123" t="s">
        <v>1104</v>
      </c>
      <c r="I202" s="130" t="s">
        <v>40</v>
      </c>
      <c r="J202" s="131" t="s">
        <v>41</v>
      </c>
      <c r="K202" s="124" t="s">
        <v>1105</v>
      </c>
      <c r="L202" s="124" t="s">
        <v>59</v>
      </c>
      <c r="M202" s="100" t="s">
        <v>900</v>
      </c>
      <c r="N202" s="100" t="s">
        <v>1106</v>
      </c>
      <c r="O202" s="123" t="s">
        <v>41</v>
      </c>
    </row>
    <row r="203" spans="1:15" x14ac:dyDescent="0.35">
      <c r="A203" s="33">
        <v>451</v>
      </c>
      <c r="B203" s="121"/>
      <c r="C203" s="113" t="s">
        <v>778</v>
      </c>
      <c r="D203" s="113" t="s">
        <v>1102</v>
      </c>
      <c r="E203" s="115" t="s">
        <v>1103</v>
      </c>
      <c r="F203" s="115" t="s">
        <v>1103</v>
      </c>
      <c r="G203" s="113" t="s">
        <v>1104</v>
      </c>
      <c r="H203" s="113" t="s">
        <v>1104</v>
      </c>
      <c r="I203" s="115" t="s">
        <v>40</v>
      </c>
      <c r="J203" s="117" t="s">
        <v>41</v>
      </c>
      <c r="K203" s="119" t="s">
        <v>1105</v>
      </c>
      <c r="L203" s="119" t="s">
        <v>59</v>
      </c>
      <c r="M203" s="101" t="s">
        <v>900</v>
      </c>
      <c r="N203" s="101" t="s">
        <v>1106</v>
      </c>
      <c r="O203" s="113" t="s">
        <v>41</v>
      </c>
    </row>
    <row r="204" spans="1:15" x14ac:dyDescent="0.35">
      <c r="A204" s="29">
        <v>6</v>
      </c>
      <c r="B204" s="7" t="s">
        <v>46</v>
      </c>
      <c r="C204" s="12" t="s">
        <v>53</v>
      </c>
      <c r="D204" s="12" t="s">
        <v>1107</v>
      </c>
      <c r="E204" s="4" t="s">
        <v>1108</v>
      </c>
      <c r="F204" s="4" t="s">
        <v>1109</v>
      </c>
      <c r="G204" s="12" t="s">
        <v>1110</v>
      </c>
      <c r="H204" s="12" t="s">
        <v>1111</v>
      </c>
      <c r="I204" s="4" t="s">
        <v>40</v>
      </c>
      <c r="J204" s="6" t="s">
        <v>41</v>
      </c>
      <c r="K204" s="8" t="s">
        <v>111</v>
      </c>
      <c r="L204" s="8" t="s">
        <v>103</v>
      </c>
      <c r="M204" s="25" t="s">
        <v>263</v>
      </c>
      <c r="N204" s="25" t="s">
        <v>1112</v>
      </c>
      <c r="O204" s="12" t="s">
        <v>41</v>
      </c>
    </row>
    <row r="205" spans="1:15" ht="43.5" x14ac:dyDescent="0.35">
      <c r="A205" s="29">
        <v>4324</v>
      </c>
      <c r="B205" s="7" t="s">
        <v>46</v>
      </c>
      <c r="C205" s="12" t="s">
        <v>1113</v>
      </c>
      <c r="D205" s="12" t="s">
        <v>1114</v>
      </c>
      <c r="E205" s="4" t="s">
        <v>1115</v>
      </c>
      <c r="F205" s="4" t="s">
        <v>1115</v>
      </c>
      <c r="G205" s="12" t="s">
        <v>1116</v>
      </c>
      <c r="H205" s="12" t="s">
        <v>1116</v>
      </c>
      <c r="I205" s="4" t="s">
        <v>40</v>
      </c>
      <c r="J205" s="6" t="s">
        <v>41</v>
      </c>
      <c r="K205" s="8" t="s">
        <v>210</v>
      </c>
      <c r="L205" s="30" t="s">
        <v>314</v>
      </c>
      <c r="M205" s="25" t="s">
        <v>1117</v>
      </c>
      <c r="N205" s="25" t="s">
        <v>1118</v>
      </c>
      <c r="O205" s="12" t="s">
        <v>41</v>
      </c>
    </row>
    <row r="206" spans="1:15" ht="43.5" x14ac:dyDescent="0.35">
      <c r="A206" s="29">
        <v>47</v>
      </c>
      <c r="B206" s="7" t="s">
        <v>46</v>
      </c>
      <c r="C206" s="12" t="s">
        <v>1113</v>
      </c>
      <c r="D206" s="12" t="s">
        <v>1119</v>
      </c>
      <c r="E206" s="4" t="s">
        <v>1120</v>
      </c>
      <c r="F206" s="4" t="s">
        <v>1121</v>
      </c>
      <c r="G206" s="12" t="s">
        <v>1122</v>
      </c>
      <c r="H206" s="12" t="s">
        <v>1123</v>
      </c>
      <c r="I206" s="4" t="s">
        <v>40</v>
      </c>
      <c r="J206" s="6" t="s">
        <v>41</v>
      </c>
      <c r="K206" s="8" t="s">
        <v>1124</v>
      </c>
      <c r="L206" s="8" t="s">
        <v>103</v>
      </c>
      <c r="M206" s="25" t="s">
        <v>1125</v>
      </c>
      <c r="N206" s="25" t="s">
        <v>1126</v>
      </c>
      <c r="O206" s="12" t="s">
        <v>41</v>
      </c>
    </row>
    <row r="207" spans="1:15" ht="43.5" x14ac:dyDescent="0.35">
      <c r="A207" s="29">
        <v>110</v>
      </c>
      <c r="B207" s="7" t="s">
        <v>46</v>
      </c>
      <c r="C207" s="12" t="s">
        <v>1113</v>
      </c>
      <c r="D207" s="12" t="s">
        <v>1127</v>
      </c>
      <c r="E207" s="4" t="s">
        <v>1128</v>
      </c>
      <c r="F207" s="4" t="s">
        <v>1129</v>
      </c>
      <c r="G207" s="12" t="s">
        <v>1130</v>
      </c>
      <c r="H207" s="12" t="s">
        <v>1131</v>
      </c>
      <c r="I207" s="4" t="s">
        <v>40</v>
      </c>
      <c r="J207" s="6" t="s">
        <v>41</v>
      </c>
      <c r="K207" s="8" t="s">
        <v>1132</v>
      </c>
      <c r="L207" s="8" t="s">
        <v>103</v>
      </c>
      <c r="M207" s="25" t="s">
        <v>1125</v>
      </c>
      <c r="N207" s="25" t="s">
        <v>1133</v>
      </c>
      <c r="O207" s="12" t="s">
        <v>41</v>
      </c>
    </row>
    <row r="208" spans="1:15" ht="29" x14ac:dyDescent="0.35">
      <c r="A208" s="29">
        <v>546</v>
      </c>
      <c r="B208" s="7" t="s">
        <v>46</v>
      </c>
      <c r="C208" s="12" t="s">
        <v>1113</v>
      </c>
      <c r="D208" s="12" t="s">
        <v>1134</v>
      </c>
      <c r="E208" s="4" t="s">
        <v>1135</v>
      </c>
      <c r="F208" s="4" t="s">
        <v>1135</v>
      </c>
      <c r="G208" s="12" t="s">
        <v>1136</v>
      </c>
      <c r="H208" s="12" t="s">
        <v>1137</v>
      </c>
      <c r="I208" s="4" t="s">
        <v>40</v>
      </c>
      <c r="J208" s="6" t="s">
        <v>41</v>
      </c>
      <c r="K208" s="8" t="s">
        <v>102</v>
      </c>
      <c r="L208" s="8" t="s">
        <v>103</v>
      </c>
      <c r="M208" s="25" t="s">
        <v>1138</v>
      </c>
      <c r="N208" s="25" t="s">
        <v>1135</v>
      </c>
      <c r="O208" s="12" t="s">
        <v>41</v>
      </c>
    </row>
    <row r="209" spans="1:15" ht="43.5" x14ac:dyDescent="0.35">
      <c r="A209" s="29">
        <v>544</v>
      </c>
      <c r="B209" s="7" t="s">
        <v>46</v>
      </c>
      <c r="C209" s="12" t="s">
        <v>1113</v>
      </c>
      <c r="D209" s="12" t="s">
        <v>1139</v>
      </c>
      <c r="E209" s="4" t="s">
        <v>1140</v>
      </c>
      <c r="F209" s="4" t="s">
        <v>1140</v>
      </c>
      <c r="G209" s="12" t="s">
        <v>1141</v>
      </c>
      <c r="H209" s="12" t="s">
        <v>1141</v>
      </c>
      <c r="I209" s="4" t="s">
        <v>40</v>
      </c>
      <c r="J209" s="6" t="s">
        <v>41</v>
      </c>
      <c r="K209" s="8" t="s">
        <v>1142</v>
      </c>
      <c r="L209" s="8" t="s">
        <v>59</v>
      </c>
      <c r="M209" s="25" t="s">
        <v>1138</v>
      </c>
      <c r="N209" s="25" t="s">
        <v>1143</v>
      </c>
      <c r="O209" s="12" t="s">
        <v>41</v>
      </c>
    </row>
    <row r="210" spans="1:15" ht="72.5" x14ac:dyDescent="0.35">
      <c r="A210" s="29">
        <v>543</v>
      </c>
      <c r="B210" s="7" t="s">
        <v>46</v>
      </c>
      <c r="C210" s="12" t="s">
        <v>1113</v>
      </c>
      <c r="D210" s="12" t="s">
        <v>1144</v>
      </c>
      <c r="E210" s="4" t="s">
        <v>1145</v>
      </c>
      <c r="F210" s="4" t="s">
        <v>1145</v>
      </c>
      <c r="G210" s="12" t="s">
        <v>1146</v>
      </c>
      <c r="H210" s="12" t="s">
        <v>1146</v>
      </c>
      <c r="I210" s="4" t="s">
        <v>40</v>
      </c>
      <c r="J210" s="6" t="s">
        <v>41</v>
      </c>
      <c r="K210" s="8" t="s">
        <v>1147</v>
      </c>
      <c r="L210" s="8" t="s">
        <v>59</v>
      </c>
      <c r="M210" s="25" t="s">
        <v>1138</v>
      </c>
      <c r="N210" s="25" t="s">
        <v>1148</v>
      </c>
      <c r="O210" s="12" t="s">
        <v>41</v>
      </c>
    </row>
    <row r="211" spans="1:15" ht="43.5" x14ac:dyDescent="0.35">
      <c r="A211" s="29">
        <v>545</v>
      </c>
      <c r="B211" s="7" t="s">
        <v>46</v>
      </c>
      <c r="C211" s="12" t="s">
        <v>1113</v>
      </c>
      <c r="D211" s="12" t="s">
        <v>1149</v>
      </c>
      <c r="E211" s="4" t="s">
        <v>1150</v>
      </c>
      <c r="F211" s="4" t="s">
        <v>1150</v>
      </c>
      <c r="G211" s="12" t="s">
        <v>1151</v>
      </c>
      <c r="H211" s="12" t="s">
        <v>1151</v>
      </c>
      <c r="I211" s="4" t="s">
        <v>40</v>
      </c>
      <c r="J211" s="6" t="s">
        <v>41</v>
      </c>
      <c r="K211" s="8" t="s">
        <v>1152</v>
      </c>
      <c r="L211" s="8" t="s">
        <v>59</v>
      </c>
      <c r="M211" s="25" t="s">
        <v>1138</v>
      </c>
      <c r="N211" s="25" t="s">
        <v>1153</v>
      </c>
      <c r="O211" s="12" t="s">
        <v>41</v>
      </c>
    </row>
    <row r="212" spans="1:15" ht="43.5" x14ac:dyDescent="0.35">
      <c r="A212" s="29">
        <v>272</v>
      </c>
      <c r="B212" s="7" t="s">
        <v>33</v>
      </c>
      <c r="C212" s="12" t="s">
        <v>1113</v>
      </c>
      <c r="D212" s="12" t="s">
        <v>1154</v>
      </c>
      <c r="E212" s="4" t="s">
        <v>1155</v>
      </c>
      <c r="F212" s="4" t="s">
        <v>1155</v>
      </c>
      <c r="G212" s="12" t="s">
        <v>1156</v>
      </c>
      <c r="H212" s="12" t="s">
        <v>1157</v>
      </c>
      <c r="I212" s="4" t="s">
        <v>40</v>
      </c>
      <c r="J212" s="6" t="s">
        <v>41</v>
      </c>
      <c r="K212" s="8" t="s">
        <v>1158</v>
      </c>
      <c r="L212" s="8" t="s">
        <v>103</v>
      </c>
      <c r="M212" s="25" t="s">
        <v>41</v>
      </c>
      <c r="N212" s="25" t="s">
        <v>41</v>
      </c>
      <c r="O212" s="12" t="s">
        <v>41</v>
      </c>
    </row>
    <row r="213" spans="1:15" ht="29" x14ac:dyDescent="0.35">
      <c r="A213" s="29">
        <v>542</v>
      </c>
      <c r="B213" s="7" t="s">
        <v>46</v>
      </c>
      <c r="C213" s="12" t="s">
        <v>1113</v>
      </c>
      <c r="D213" s="12" t="s">
        <v>1159</v>
      </c>
      <c r="E213" s="4" t="s">
        <v>1160</v>
      </c>
      <c r="F213" s="4" t="s">
        <v>1160</v>
      </c>
      <c r="G213" s="12" t="s">
        <v>1161</v>
      </c>
      <c r="H213" s="12" t="s">
        <v>1161</v>
      </c>
      <c r="I213" s="4" t="s">
        <v>40</v>
      </c>
      <c r="J213" s="6" t="s">
        <v>41</v>
      </c>
      <c r="K213" s="8" t="s">
        <v>102</v>
      </c>
      <c r="L213" s="8" t="s">
        <v>103</v>
      </c>
      <c r="M213" s="25" t="s">
        <v>1162</v>
      </c>
      <c r="N213" s="25" t="s">
        <v>1160</v>
      </c>
      <c r="O213" s="12" t="s">
        <v>41</v>
      </c>
    </row>
    <row r="214" spans="1:15" ht="43.5" x14ac:dyDescent="0.35">
      <c r="A214" s="29">
        <v>541</v>
      </c>
      <c r="B214" s="7" t="s">
        <v>46</v>
      </c>
      <c r="C214" s="12" t="s">
        <v>1113</v>
      </c>
      <c r="D214" s="12" t="s">
        <v>1163</v>
      </c>
      <c r="E214" s="4" t="s">
        <v>1164</v>
      </c>
      <c r="F214" s="4" t="s">
        <v>1164</v>
      </c>
      <c r="G214" s="12" t="s">
        <v>1165</v>
      </c>
      <c r="H214" s="12" t="s">
        <v>1165</v>
      </c>
      <c r="I214" s="4" t="s">
        <v>40</v>
      </c>
      <c r="J214" s="6" t="s">
        <v>41</v>
      </c>
      <c r="K214" s="8" t="s">
        <v>66</v>
      </c>
      <c r="L214" s="30" t="s">
        <v>67</v>
      </c>
      <c r="M214" s="25">
        <v>2937</v>
      </c>
      <c r="N214" s="25" t="s">
        <v>1164</v>
      </c>
      <c r="O214" s="12" t="s">
        <v>41</v>
      </c>
    </row>
    <row r="215" spans="1:15" x14ac:dyDescent="0.35">
      <c r="A215" s="29">
        <v>37</v>
      </c>
      <c r="B215" s="7" t="s">
        <v>46</v>
      </c>
      <c r="C215" s="12" t="s">
        <v>77</v>
      </c>
      <c r="D215" s="12" t="s">
        <v>1166</v>
      </c>
      <c r="E215" s="4" t="s">
        <v>1167</v>
      </c>
      <c r="F215" s="4" t="s">
        <v>1167</v>
      </c>
      <c r="G215" s="12" t="s">
        <v>1168</v>
      </c>
      <c r="H215" s="12" t="s">
        <v>1169</v>
      </c>
      <c r="I215" s="4" t="s">
        <v>40</v>
      </c>
      <c r="J215" s="6" t="s">
        <v>41</v>
      </c>
      <c r="K215" s="8" t="s">
        <v>111</v>
      </c>
      <c r="L215" s="8" t="s">
        <v>103</v>
      </c>
      <c r="M215" s="42" t="s">
        <v>44</v>
      </c>
      <c r="N215" s="25" t="s">
        <v>1170</v>
      </c>
      <c r="O215" s="12" t="s">
        <v>1171</v>
      </c>
    </row>
    <row r="216" spans="1:15" ht="29" x14ac:dyDescent="0.35">
      <c r="A216" s="29">
        <v>239</v>
      </c>
      <c r="B216" s="7" t="s">
        <v>46</v>
      </c>
      <c r="C216" s="12" t="s">
        <v>77</v>
      </c>
      <c r="D216" s="12" t="s">
        <v>1172</v>
      </c>
      <c r="E216" s="4" t="s">
        <v>1173</v>
      </c>
      <c r="F216" s="4" t="s">
        <v>1174</v>
      </c>
      <c r="G216" s="12" t="s">
        <v>1175</v>
      </c>
      <c r="H216" s="12" t="s">
        <v>1175</v>
      </c>
      <c r="I216" s="4" t="s">
        <v>40</v>
      </c>
      <c r="J216" s="6" t="s">
        <v>41</v>
      </c>
      <c r="K216" s="8" t="s">
        <v>1176</v>
      </c>
      <c r="L216" s="8" t="s">
        <v>43</v>
      </c>
      <c r="M216" s="25" t="s">
        <v>263</v>
      </c>
      <c r="N216" s="25" t="s">
        <v>1177</v>
      </c>
      <c r="O216" s="12" t="s">
        <v>41</v>
      </c>
    </row>
    <row r="217" spans="1:15" ht="29" x14ac:dyDescent="0.35">
      <c r="A217" s="29">
        <v>27</v>
      </c>
      <c r="B217" s="7" t="s">
        <v>46</v>
      </c>
      <c r="C217" s="12" t="s">
        <v>77</v>
      </c>
      <c r="D217" s="12" t="s">
        <v>1178</v>
      </c>
      <c r="E217" s="4" t="s">
        <v>1179</v>
      </c>
      <c r="F217" s="4" t="s">
        <v>1180</v>
      </c>
      <c r="G217" s="12" t="s">
        <v>1181</v>
      </c>
      <c r="H217" s="12" t="s">
        <v>1182</v>
      </c>
      <c r="I217" s="4" t="s">
        <v>40</v>
      </c>
      <c r="J217" s="6" t="s">
        <v>41</v>
      </c>
      <c r="K217" s="8" t="s">
        <v>1183</v>
      </c>
      <c r="L217" s="8" t="s">
        <v>82</v>
      </c>
      <c r="M217" s="25" t="s">
        <v>1184</v>
      </c>
      <c r="N217" s="25" t="s">
        <v>1185</v>
      </c>
      <c r="O217" s="12" t="s">
        <v>41</v>
      </c>
    </row>
    <row r="218" spans="1:15" ht="29" x14ac:dyDescent="0.35">
      <c r="A218" s="29">
        <v>4268</v>
      </c>
      <c r="B218" s="7" t="s">
        <v>46</v>
      </c>
      <c r="C218" s="12" t="s">
        <v>77</v>
      </c>
      <c r="D218" s="12" t="s">
        <v>1186</v>
      </c>
      <c r="E218" s="4" t="s">
        <v>1187</v>
      </c>
      <c r="F218" s="4" t="s">
        <v>1187</v>
      </c>
      <c r="G218" s="12" t="s">
        <v>1188</v>
      </c>
      <c r="H218" s="12" t="s">
        <v>1189</v>
      </c>
      <c r="I218" s="4" t="s">
        <v>40</v>
      </c>
      <c r="J218" s="6" t="s">
        <v>41</v>
      </c>
      <c r="K218" s="8" t="s">
        <v>102</v>
      </c>
      <c r="L218" s="8" t="s">
        <v>103</v>
      </c>
      <c r="M218" s="25" t="s">
        <v>1190</v>
      </c>
      <c r="N218" s="25" t="s">
        <v>1191</v>
      </c>
      <c r="O218" s="12" t="s">
        <v>41</v>
      </c>
    </row>
    <row r="219" spans="1:15" ht="29" x14ac:dyDescent="0.35">
      <c r="A219" s="29">
        <v>95</v>
      </c>
      <c r="B219" s="7" t="s">
        <v>46</v>
      </c>
      <c r="C219" s="12" t="s">
        <v>77</v>
      </c>
      <c r="D219" s="12" t="s">
        <v>1192</v>
      </c>
      <c r="E219" s="4" t="s">
        <v>1193</v>
      </c>
      <c r="F219" s="4" t="s">
        <v>1194</v>
      </c>
      <c r="G219" s="12" t="s">
        <v>1195</v>
      </c>
      <c r="H219" s="12" t="s">
        <v>1195</v>
      </c>
      <c r="I219" s="4" t="s">
        <v>40</v>
      </c>
      <c r="J219" s="6" t="s">
        <v>41</v>
      </c>
      <c r="K219" s="8" t="s">
        <v>1196</v>
      </c>
      <c r="L219" s="8" t="s">
        <v>82</v>
      </c>
      <c r="M219" s="25" t="s">
        <v>1197</v>
      </c>
      <c r="N219" s="25" t="s">
        <v>1198</v>
      </c>
      <c r="O219" s="12" t="s">
        <v>41</v>
      </c>
    </row>
    <row r="220" spans="1:15" ht="29" x14ac:dyDescent="0.35">
      <c r="A220" s="29">
        <v>94</v>
      </c>
      <c r="B220" s="7" t="s">
        <v>46</v>
      </c>
      <c r="C220" s="12" t="s">
        <v>77</v>
      </c>
      <c r="D220" s="12" t="s">
        <v>1199</v>
      </c>
      <c r="E220" s="4" t="s">
        <v>1200</v>
      </c>
      <c r="F220" s="4" t="s">
        <v>1201</v>
      </c>
      <c r="G220" s="12" t="s">
        <v>1202</v>
      </c>
      <c r="H220" s="12" t="s">
        <v>1202</v>
      </c>
      <c r="I220" s="4" t="s">
        <v>40</v>
      </c>
      <c r="J220" s="6" t="s">
        <v>41</v>
      </c>
      <c r="K220" s="8" t="s">
        <v>1203</v>
      </c>
      <c r="L220" s="8" t="s">
        <v>67</v>
      </c>
      <c r="M220" s="25" t="s">
        <v>1197</v>
      </c>
      <c r="N220" s="25" t="s">
        <v>1204</v>
      </c>
      <c r="O220" s="12" t="s">
        <v>41</v>
      </c>
    </row>
    <row r="221" spans="1:15" ht="29" x14ac:dyDescent="0.35">
      <c r="A221" s="29">
        <v>10</v>
      </c>
      <c r="B221" s="7" t="s">
        <v>46</v>
      </c>
      <c r="C221" s="12" t="s">
        <v>77</v>
      </c>
      <c r="D221" s="12" t="s">
        <v>1205</v>
      </c>
      <c r="E221" s="4" t="s">
        <v>1206</v>
      </c>
      <c r="F221" s="4" t="s">
        <v>1207</v>
      </c>
      <c r="G221" s="12" t="s">
        <v>1208</v>
      </c>
      <c r="H221" s="12" t="s">
        <v>1209</v>
      </c>
      <c r="I221" s="4" t="s">
        <v>40</v>
      </c>
      <c r="J221" s="6" t="s">
        <v>41</v>
      </c>
      <c r="K221" s="8" t="s">
        <v>1210</v>
      </c>
      <c r="L221" s="8" t="s">
        <v>82</v>
      </c>
      <c r="M221" s="25" t="s">
        <v>1197</v>
      </c>
      <c r="N221" s="25" t="s">
        <v>1211</v>
      </c>
      <c r="O221" s="12" t="s">
        <v>41</v>
      </c>
    </row>
    <row r="222" spans="1:15" x14ac:dyDescent="0.35">
      <c r="A222" s="38">
        <v>103</v>
      </c>
      <c r="B222" s="111" t="s">
        <v>46</v>
      </c>
      <c r="C222" s="124" t="s">
        <v>1212</v>
      </c>
      <c r="D222" s="124" t="s">
        <v>1213</v>
      </c>
      <c r="E222" s="124" t="s">
        <v>1214</v>
      </c>
      <c r="F222" s="124" t="s">
        <v>1215</v>
      </c>
      <c r="G222" s="124" t="s">
        <v>1216</v>
      </c>
      <c r="H222" s="124" t="s">
        <v>1217</v>
      </c>
      <c r="I222" s="124" t="s">
        <v>40</v>
      </c>
      <c r="J222" s="124" t="s">
        <v>41</v>
      </c>
      <c r="K222" s="124" t="s">
        <v>1218</v>
      </c>
      <c r="L222" s="124" t="s">
        <v>1219</v>
      </c>
      <c r="M222" s="100" t="s">
        <v>1220</v>
      </c>
      <c r="N222" s="100" t="s">
        <v>1221</v>
      </c>
      <c r="O222" s="124" t="s">
        <v>41</v>
      </c>
    </row>
    <row r="223" spans="1:15" x14ac:dyDescent="0.35">
      <c r="A223" s="33">
        <v>848</v>
      </c>
      <c r="B223" s="121"/>
      <c r="C223" s="119" t="s">
        <v>1212</v>
      </c>
      <c r="D223" s="119" t="s">
        <v>1213</v>
      </c>
      <c r="E223" s="119" t="s">
        <v>1214</v>
      </c>
      <c r="F223" s="119" t="s">
        <v>1215</v>
      </c>
      <c r="G223" s="119" t="s">
        <v>1216</v>
      </c>
      <c r="H223" s="119" t="s">
        <v>1217</v>
      </c>
      <c r="I223" s="119" t="s">
        <v>40</v>
      </c>
      <c r="J223" s="119" t="s">
        <v>41</v>
      </c>
      <c r="K223" s="119" t="s">
        <v>1218</v>
      </c>
      <c r="L223" s="119" t="s">
        <v>1219</v>
      </c>
      <c r="M223" s="101" t="s">
        <v>1220</v>
      </c>
      <c r="N223" s="101" t="s">
        <v>1221</v>
      </c>
      <c r="O223" s="119" t="s">
        <v>41</v>
      </c>
    </row>
    <row r="224" spans="1:15" ht="29" x14ac:dyDescent="0.35">
      <c r="A224" s="29">
        <v>387</v>
      </c>
      <c r="B224" s="7" t="s">
        <v>46</v>
      </c>
      <c r="C224" s="12" t="s">
        <v>77</v>
      </c>
      <c r="D224" s="12" t="s">
        <v>1222</v>
      </c>
      <c r="E224" s="4" t="s">
        <v>1223</v>
      </c>
      <c r="F224" s="4" t="s">
        <v>1223</v>
      </c>
      <c r="G224" s="12" t="s">
        <v>1224</v>
      </c>
      <c r="H224" s="12" t="s">
        <v>1225</v>
      </c>
      <c r="I224" s="4" t="s">
        <v>40</v>
      </c>
      <c r="J224" s="6" t="s">
        <v>41</v>
      </c>
      <c r="K224" s="8" t="s">
        <v>1226</v>
      </c>
      <c r="L224" s="8" t="s">
        <v>59</v>
      </c>
      <c r="M224" s="25" t="s">
        <v>1190</v>
      </c>
      <c r="N224" s="25" t="s">
        <v>1227</v>
      </c>
      <c r="O224" s="12" t="s">
        <v>41</v>
      </c>
    </row>
    <row r="225" spans="1:15" ht="43.5" x14ac:dyDescent="0.35">
      <c r="A225" s="29">
        <v>67</v>
      </c>
      <c r="B225" s="7" t="s">
        <v>46</v>
      </c>
      <c r="C225" s="12" t="s">
        <v>77</v>
      </c>
      <c r="D225" s="12" t="s">
        <v>1228</v>
      </c>
      <c r="E225" s="4" t="s">
        <v>1229</v>
      </c>
      <c r="F225" s="4" t="s">
        <v>1229</v>
      </c>
      <c r="G225" s="12" t="s">
        <v>1230</v>
      </c>
      <c r="H225" s="12" t="s">
        <v>1230</v>
      </c>
      <c r="I225" s="4" t="s">
        <v>40</v>
      </c>
      <c r="J225" s="6" t="s">
        <v>41</v>
      </c>
      <c r="K225" s="8" t="s">
        <v>1231</v>
      </c>
      <c r="L225" s="8" t="s">
        <v>59</v>
      </c>
      <c r="M225" s="25" t="s">
        <v>1232</v>
      </c>
      <c r="N225" s="25" t="s">
        <v>1233</v>
      </c>
      <c r="O225" s="12" t="s">
        <v>41</v>
      </c>
    </row>
    <row r="226" spans="1:15" ht="29" x14ac:dyDescent="0.35">
      <c r="A226" s="29">
        <v>30</v>
      </c>
      <c r="B226" s="7" t="s">
        <v>46</v>
      </c>
      <c r="C226" s="12" t="s">
        <v>77</v>
      </c>
      <c r="D226" s="12" t="s">
        <v>1234</v>
      </c>
      <c r="E226" s="4" t="s">
        <v>1235</v>
      </c>
      <c r="F226" s="4" t="s">
        <v>1236</v>
      </c>
      <c r="G226" s="12" t="s">
        <v>1237</v>
      </c>
      <c r="H226" s="12" t="s">
        <v>1237</v>
      </c>
      <c r="I226" s="4" t="s">
        <v>40</v>
      </c>
      <c r="J226" s="6" t="s">
        <v>41</v>
      </c>
      <c r="K226" s="8" t="s">
        <v>1238</v>
      </c>
      <c r="L226" s="8" t="s">
        <v>82</v>
      </c>
      <c r="M226" s="25" t="s">
        <v>1184</v>
      </c>
      <c r="N226" s="25" t="s">
        <v>1239</v>
      </c>
      <c r="O226" s="12" t="s">
        <v>41</v>
      </c>
    </row>
    <row r="227" spans="1:15" x14ac:dyDescent="0.35">
      <c r="A227" s="29">
        <v>166</v>
      </c>
      <c r="B227" s="7" t="s">
        <v>46</v>
      </c>
      <c r="C227" s="12" t="s">
        <v>77</v>
      </c>
      <c r="D227" s="12" t="s">
        <v>1240</v>
      </c>
      <c r="E227" s="4" t="s">
        <v>1241</v>
      </c>
      <c r="F227" s="4" t="s">
        <v>1242</v>
      </c>
      <c r="G227" s="12" t="s">
        <v>1243</v>
      </c>
      <c r="H227" s="12" t="s">
        <v>1244</v>
      </c>
      <c r="I227" s="4" t="s">
        <v>40</v>
      </c>
      <c r="J227" s="6" t="s">
        <v>41</v>
      </c>
      <c r="K227" s="8" t="s">
        <v>111</v>
      </c>
      <c r="L227" s="8" t="s">
        <v>103</v>
      </c>
      <c r="M227" s="25" t="s">
        <v>1245</v>
      </c>
      <c r="N227" s="49" t="s">
        <v>1246</v>
      </c>
      <c r="O227" s="12" t="s">
        <v>1247</v>
      </c>
    </row>
    <row r="228" spans="1:15" x14ac:dyDescent="0.35">
      <c r="A228" s="29">
        <v>60</v>
      </c>
      <c r="B228" s="7" t="s">
        <v>46</v>
      </c>
      <c r="C228" s="12" t="s">
        <v>77</v>
      </c>
      <c r="D228" s="12" t="s">
        <v>1248</v>
      </c>
      <c r="E228" s="4" t="s">
        <v>1249</v>
      </c>
      <c r="F228" s="4" t="s">
        <v>1250</v>
      </c>
      <c r="G228" s="12" t="s">
        <v>1251</v>
      </c>
      <c r="H228" s="12" t="s">
        <v>1252</v>
      </c>
      <c r="I228" s="4" t="s">
        <v>1253</v>
      </c>
      <c r="J228" s="6" t="s">
        <v>41</v>
      </c>
      <c r="K228" s="8" t="s">
        <v>111</v>
      </c>
      <c r="L228" s="8" t="s">
        <v>103</v>
      </c>
      <c r="M228" s="25" t="s">
        <v>320</v>
      </c>
      <c r="N228" s="25" t="s">
        <v>1254</v>
      </c>
      <c r="O228" s="12" t="s">
        <v>41</v>
      </c>
    </row>
    <row r="229" spans="1:15" ht="29" x14ac:dyDescent="0.35">
      <c r="A229" s="29">
        <v>38</v>
      </c>
      <c r="B229" s="7" t="s">
        <v>46</v>
      </c>
      <c r="C229" s="12" t="s">
        <v>77</v>
      </c>
      <c r="D229" s="12" t="s">
        <v>1255</v>
      </c>
      <c r="E229" s="4" t="s">
        <v>1256</v>
      </c>
      <c r="F229" s="4" t="s">
        <v>1256</v>
      </c>
      <c r="G229" s="12" t="s">
        <v>1257</v>
      </c>
      <c r="H229" s="12" t="s">
        <v>1258</v>
      </c>
      <c r="I229" s="4" t="s">
        <v>40</v>
      </c>
      <c r="J229" s="6" t="s">
        <v>41</v>
      </c>
      <c r="K229" s="8" t="s">
        <v>102</v>
      </c>
      <c r="L229" s="8" t="s">
        <v>103</v>
      </c>
      <c r="M229" s="25" t="s">
        <v>411</v>
      </c>
      <c r="N229" s="25" t="s">
        <v>1259</v>
      </c>
      <c r="O229" s="12" t="s">
        <v>41</v>
      </c>
    </row>
    <row r="230" spans="1:15" ht="29" x14ac:dyDescent="0.35">
      <c r="A230" s="29">
        <v>26</v>
      </c>
      <c r="B230" s="7" t="s">
        <v>46</v>
      </c>
      <c r="C230" s="12" t="s">
        <v>77</v>
      </c>
      <c r="D230" s="12" t="s">
        <v>1260</v>
      </c>
      <c r="E230" s="4" t="s">
        <v>1261</v>
      </c>
      <c r="F230" s="4" t="s">
        <v>1262</v>
      </c>
      <c r="G230" s="12" t="s">
        <v>1263</v>
      </c>
      <c r="H230" s="12" t="s">
        <v>1264</v>
      </c>
      <c r="I230" s="4" t="s">
        <v>40</v>
      </c>
      <c r="J230" s="6" t="s">
        <v>41</v>
      </c>
      <c r="K230" s="8" t="s">
        <v>1265</v>
      </c>
      <c r="L230" s="8" t="s">
        <v>59</v>
      </c>
      <c r="M230" s="25" t="s">
        <v>411</v>
      </c>
      <c r="N230" s="25" t="s">
        <v>1266</v>
      </c>
      <c r="O230" s="12" t="s">
        <v>41</v>
      </c>
    </row>
    <row r="231" spans="1:15" ht="43.5" x14ac:dyDescent="0.35">
      <c r="A231" s="29">
        <v>33</v>
      </c>
      <c r="B231" s="7" t="s">
        <v>46</v>
      </c>
      <c r="C231" s="12" t="s">
        <v>77</v>
      </c>
      <c r="D231" s="12" t="s">
        <v>1267</v>
      </c>
      <c r="E231" s="4" t="s">
        <v>1268</v>
      </c>
      <c r="F231" s="4" t="s">
        <v>1268</v>
      </c>
      <c r="G231" s="12" t="s">
        <v>1269</v>
      </c>
      <c r="H231" s="12" t="s">
        <v>1270</v>
      </c>
      <c r="I231" s="4" t="s">
        <v>40</v>
      </c>
      <c r="J231" s="6" t="s">
        <v>41</v>
      </c>
      <c r="K231" s="8" t="s">
        <v>1271</v>
      </c>
      <c r="L231" s="8" t="s">
        <v>59</v>
      </c>
      <c r="M231" s="25" t="s">
        <v>411</v>
      </c>
      <c r="N231" s="25" t="s">
        <v>1272</v>
      </c>
      <c r="O231" s="12" t="s">
        <v>41</v>
      </c>
    </row>
    <row r="232" spans="1:15" ht="29" x14ac:dyDescent="0.35">
      <c r="A232" s="29">
        <v>61</v>
      </c>
      <c r="B232" s="7" t="s">
        <v>46</v>
      </c>
      <c r="C232" s="12" t="s">
        <v>77</v>
      </c>
      <c r="D232" s="12" t="s">
        <v>1273</v>
      </c>
      <c r="E232" s="4" t="s">
        <v>1274</v>
      </c>
      <c r="F232" s="4" t="s">
        <v>1275</v>
      </c>
      <c r="G232" s="12" t="s">
        <v>1276</v>
      </c>
      <c r="H232" s="12" t="s">
        <v>1276</v>
      </c>
      <c r="I232" s="4" t="s">
        <v>1253</v>
      </c>
      <c r="J232" s="6" t="s">
        <v>41</v>
      </c>
      <c r="K232" s="8" t="s">
        <v>111</v>
      </c>
      <c r="L232" s="8" t="s">
        <v>103</v>
      </c>
      <c r="M232" s="25" t="s">
        <v>320</v>
      </c>
      <c r="N232" s="25" t="s">
        <v>1277</v>
      </c>
      <c r="O232" s="12" t="s">
        <v>1278</v>
      </c>
    </row>
    <row r="233" spans="1:15" ht="29" x14ac:dyDescent="0.35">
      <c r="A233" s="29">
        <v>26500</v>
      </c>
      <c r="B233" s="7" t="s">
        <v>46</v>
      </c>
      <c r="C233" s="12" t="s">
        <v>77</v>
      </c>
      <c r="D233" s="12" t="s">
        <v>1279</v>
      </c>
      <c r="E233" s="4" t="s">
        <v>1280</v>
      </c>
      <c r="F233" s="4" t="s">
        <v>1280</v>
      </c>
      <c r="G233" s="12" t="s">
        <v>1281</v>
      </c>
      <c r="H233" s="12" t="s">
        <v>1282</v>
      </c>
      <c r="I233" s="4" t="s">
        <v>40</v>
      </c>
      <c r="J233" s="6" t="s">
        <v>41</v>
      </c>
      <c r="K233" s="8" t="s">
        <v>102</v>
      </c>
      <c r="L233" s="8" t="s">
        <v>103</v>
      </c>
      <c r="M233" s="25" t="s">
        <v>1190</v>
      </c>
      <c r="N233" s="25" t="s">
        <v>1280</v>
      </c>
      <c r="O233" s="12" t="s">
        <v>41</v>
      </c>
    </row>
    <row r="234" spans="1:15" ht="29" x14ac:dyDescent="0.35">
      <c r="A234" s="29">
        <v>76</v>
      </c>
      <c r="B234" s="7" t="s">
        <v>46</v>
      </c>
      <c r="C234" s="12" t="s">
        <v>77</v>
      </c>
      <c r="D234" s="12" t="s">
        <v>1283</v>
      </c>
      <c r="E234" s="4" t="s">
        <v>1284</v>
      </c>
      <c r="F234" s="4" t="s">
        <v>1285</v>
      </c>
      <c r="G234" s="12" t="s">
        <v>1286</v>
      </c>
      <c r="H234" s="12" t="s">
        <v>1286</v>
      </c>
      <c r="I234" s="4" t="s">
        <v>40</v>
      </c>
      <c r="J234" s="6" t="s">
        <v>41</v>
      </c>
      <c r="K234" s="8" t="s">
        <v>1287</v>
      </c>
      <c r="L234" s="8" t="s">
        <v>82</v>
      </c>
      <c r="M234" s="25" t="s">
        <v>1245</v>
      </c>
      <c r="N234" s="25" t="s">
        <v>1288</v>
      </c>
      <c r="O234" s="12" t="s">
        <v>41</v>
      </c>
    </row>
    <row r="235" spans="1:15" ht="29" x14ac:dyDescent="0.35">
      <c r="A235" s="29">
        <v>631</v>
      </c>
      <c r="B235" s="7" t="s">
        <v>46</v>
      </c>
      <c r="C235" s="12" t="s">
        <v>77</v>
      </c>
      <c r="D235" s="12" t="s">
        <v>1289</v>
      </c>
      <c r="E235" s="4" t="s">
        <v>1290</v>
      </c>
      <c r="F235" s="4" t="s">
        <v>1290</v>
      </c>
      <c r="G235" s="12" t="s">
        <v>1291</v>
      </c>
      <c r="H235" s="12" t="s">
        <v>1291</v>
      </c>
      <c r="I235" s="4" t="s">
        <v>40</v>
      </c>
      <c r="J235" s="6" t="s">
        <v>41</v>
      </c>
      <c r="K235" s="8" t="s">
        <v>102</v>
      </c>
      <c r="L235" s="8" t="s">
        <v>103</v>
      </c>
      <c r="M235" s="25" t="s">
        <v>1190</v>
      </c>
      <c r="N235" s="25" t="s">
        <v>1292</v>
      </c>
      <c r="O235" s="12" t="s">
        <v>41</v>
      </c>
    </row>
    <row r="236" spans="1:15" ht="29" x14ac:dyDescent="0.35">
      <c r="A236" s="29">
        <v>198</v>
      </c>
      <c r="B236" s="7" t="s">
        <v>46</v>
      </c>
      <c r="C236" s="12" t="s">
        <v>77</v>
      </c>
      <c r="D236" s="12" t="s">
        <v>1293</v>
      </c>
      <c r="E236" s="4" t="s">
        <v>1294</v>
      </c>
      <c r="F236" s="4" t="s">
        <v>1295</v>
      </c>
      <c r="G236" s="12" t="s">
        <v>1296</v>
      </c>
      <c r="H236" s="12" t="s">
        <v>1296</v>
      </c>
      <c r="I236" s="4" t="s">
        <v>40</v>
      </c>
      <c r="J236" s="6" t="s">
        <v>41</v>
      </c>
      <c r="K236" s="5" t="s">
        <v>1297</v>
      </c>
      <c r="L236" s="8" t="s">
        <v>67</v>
      </c>
      <c r="M236" s="25" t="s">
        <v>1298</v>
      </c>
      <c r="N236" s="25" t="s">
        <v>1299</v>
      </c>
      <c r="O236" s="12" t="s">
        <v>41</v>
      </c>
    </row>
    <row r="237" spans="1:15" x14ac:dyDescent="0.35">
      <c r="A237" s="29">
        <v>72</v>
      </c>
      <c r="B237" s="7" t="s">
        <v>46</v>
      </c>
      <c r="C237" s="12" t="s">
        <v>77</v>
      </c>
      <c r="D237" s="12" t="s">
        <v>1300</v>
      </c>
      <c r="E237" s="4" t="s">
        <v>1301</v>
      </c>
      <c r="F237" s="4" t="s">
        <v>1302</v>
      </c>
      <c r="G237" s="12" t="s">
        <v>1303</v>
      </c>
      <c r="H237" s="12" t="s">
        <v>1304</v>
      </c>
      <c r="I237" s="4" t="s">
        <v>40</v>
      </c>
      <c r="J237" s="6" t="s">
        <v>41</v>
      </c>
      <c r="K237" s="8" t="s">
        <v>111</v>
      </c>
      <c r="L237" s="8" t="s">
        <v>103</v>
      </c>
      <c r="M237" s="25" t="s">
        <v>1298</v>
      </c>
      <c r="N237" s="25" t="s">
        <v>1305</v>
      </c>
      <c r="O237" s="12" t="s">
        <v>41</v>
      </c>
    </row>
    <row r="238" spans="1:15" ht="29" x14ac:dyDescent="0.35">
      <c r="A238" s="29">
        <v>160</v>
      </c>
      <c r="B238" s="7" t="s">
        <v>46</v>
      </c>
      <c r="C238" s="12" t="s">
        <v>77</v>
      </c>
      <c r="D238" s="12" t="s">
        <v>1306</v>
      </c>
      <c r="E238" s="4" t="s">
        <v>1307</v>
      </c>
      <c r="F238" s="4" t="s">
        <v>1308</v>
      </c>
      <c r="G238" s="12" t="s">
        <v>1309</v>
      </c>
      <c r="H238" s="12" t="s">
        <v>1310</v>
      </c>
      <c r="I238" s="4" t="s">
        <v>40</v>
      </c>
      <c r="J238" s="6" t="s">
        <v>41</v>
      </c>
      <c r="K238" s="8" t="s">
        <v>1311</v>
      </c>
      <c r="L238" s="8" t="s">
        <v>82</v>
      </c>
      <c r="M238" s="25" t="s">
        <v>1184</v>
      </c>
      <c r="N238" s="25" t="s">
        <v>1312</v>
      </c>
      <c r="O238" s="12" t="s">
        <v>41</v>
      </c>
    </row>
    <row r="239" spans="1:15" ht="29" x14ac:dyDescent="0.35">
      <c r="A239" s="29">
        <v>170</v>
      </c>
      <c r="B239" s="7" t="s">
        <v>46</v>
      </c>
      <c r="C239" s="12" t="s">
        <v>77</v>
      </c>
      <c r="D239" s="12" t="s">
        <v>1313</v>
      </c>
      <c r="E239" s="4" t="s">
        <v>1314</v>
      </c>
      <c r="F239" s="4" t="s">
        <v>1315</v>
      </c>
      <c r="G239" s="12" t="s">
        <v>1316</v>
      </c>
      <c r="H239" s="12" t="s">
        <v>1316</v>
      </c>
      <c r="I239" s="4" t="s">
        <v>40</v>
      </c>
      <c r="J239" s="6" t="s">
        <v>41</v>
      </c>
      <c r="K239" s="8" t="s">
        <v>1317</v>
      </c>
      <c r="L239" s="8" t="s">
        <v>82</v>
      </c>
      <c r="M239" s="25" t="s">
        <v>1184</v>
      </c>
      <c r="N239" s="25" t="s">
        <v>1318</v>
      </c>
      <c r="O239" s="12" t="s">
        <v>41</v>
      </c>
    </row>
    <row r="240" spans="1:15" ht="43.5" x14ac:dyDescent="0.35">
      <c r="A240" s="29">
        <v>331</v>
      </c>
      <c r="B240" s="7" t="s">
        <v>46</v>
      </c>
      <c r="C240" s="12" t="s">
        <v>778</v>
      </c>
      <c r="D240" s="12" t="s">
        <v>1319</v>
      </c>
      <c r="E240" s="4" t="s">
        <v>1320</v>
      </c>
      <c r="F240" s="4" t="s">
        <v>1320</v>
      </c>
      <c r="G240" s="12" t="s">
        <v>1321</v>
      </c>
      <c r="H240" s="12" t="s">
        <v>1322</v>
      </c>
      <c r="I240" s="4" t="s">
        <v>40</v>
      </c>
      <c r="J240" s="6" t="s">
        <v>41</v>
      </c>
      <c r="K240" s="8" t="s">
        <v>1323</v>
      </c>
      <c r="L240" s="8" t="s">
        <v>59</v>
      </c>
      <c r="M240" s="25" t="s">
        <v>900</v>
      </c>
      <c r="N240" s="25" t="s">
        <v>1324</v>
      </c>
      <c r="O240" s="12" t="s">
        <v>41</v>
      </c>
    </row>
    <row r="241" spans="1:15" ht="43.5" x14ac:dyDescent="0.35">
      <c r="A241" s="29">
        <v>289</v>
      </c>
      <c r="B241" s="7" t="s">
        <v>46</v>
      </c>
      <c r="C241" s="12" t="s">
        <v>34</v>
      </c>
      <c r="D241" s="12" t="s">
        <v>1325</v>
      </c>
      <c r="E241" s="4" t="s">
        <v>1326</v>
      </c>
      <c r="F241" s="4" t="s">
        <v>1326</v>
      </c>
      <c r="G241" s="12" t="s">
        <v>1327</v>
      </c>
      <c r="H241" s="12" t="s">
        <v>1327</v>
      </c>
      <c r="I241" s="4" t="s">
        <v>40</v>
      </c>
      <c r="J241" s="6" t="s">
        <v>41</v>
      </c>
      <c r="K241" s="8" t="s">
        <v>1328</v>
      </c>
      <c r="L241" s="30" t="s">
        <v>67</v>
      </c>
      <c r="M241" s="25" t="s">
        <v>1329</v>
      </c>
      <c r="N241" s="25" t="s">
        <v>1330</v>
      </c>
      <c r="O241" s="12" t="s">
        <v>41</v>
      </c>
    </row>
    <row r="242" spans="1:15" ht="43.5" x14ac:dyDescent="0.35">
      <c r="A242" s="29">
        <v>290</v>
      </c>
      <c r="B242" s="7" t="s">
        <v>46</v>
      </c>
      <c r="C242" s="12" t="s">
        <v>34</v>
      </c>
      <c r="D242" s="12" t="s">
        <v>1331</v>
      </c>
      <c r="E242" s="4" t="s">
        <v>1332</v>
      </c>
      <c r="F242" s="4" t="s">
        <v>1332</v>
      </c>
      <c r="G242" s="12" t="s">
        <v>1333</v>
      </c>
      <c r="H242" s="12" t="s">
        <v>1333</v>
      </c>
      <c r="I242" s="4" t="s">
        <v>40</v>
      </c>
      <c r="J242" s="6" t="s">
        <v>41</v>
      </c>
      <c r="K242" s="8" t="s">
        <v>1334</v>
      </c>
      <c r="L242" s="8" t="s">
        <v>59</v>
      </c>
      <c r="M242" s="25" t="s">
        <v>1329</v>
      </c>
      <c r="N242" s="25" t="s">
        <v>1335</v>
      </c>
      <c r="O242" s="12" t="s">
        <v>41</v>
      </c>
    </row>
    <row r="243" spans="1:15" ht="43.5" x14ac:dyDescent="0.35">
      <c r="A243" s="29">
        <v>235</v>
      </c>
      <c r="B243" s="7" t="s">
        <v>46</v>
      </c>
      <c r="C243" s="12" t="s">
        <v>1336</v>
      </c>
      <c r="D243" s="12" t="s">
        <v>1337</v>
      </c>
      <c r="E243" s="4" t="s">
        <v>1338</v>
      </c>
      <c r="F243" s="4" t="s">
        <v>1338</v>
      </c>
      <c r="G243" s="12" t="s">
        <v>1339</v>
      </c>
      <c r="H243" s="12" t="s">
        <v>1340</v>
      </c>
      <c r="I243" s="4" t="s">
        <v>40</v>
      </c>
      <c r="J243" s="6" t="s">
        <v>41</v>
      </c>
      <c r="K243" s="8" t="s">
        <v>1341</v>
      </c>
      <c r="L243" s="8" t="s">
        <v>1342</v>
      </c>
      <c r="M243" s="25" t="s">
        <v>229</v>
      </c>
      <c r="N243" s="25" t="s">
        <v>1343</v>
      </c>
      <c r="O243" s="12" t="s">
        <v>41</v>
      </c>
    </row>
    <row r="244" spans="1:15" ht="43.5" x14ac:dyDescent="0.35">
      <c r="A244" s="29">
        <v>378</v>
      </c>
      <c r="B244" s="7" t="s">
        <v>46</v>
      </c>
      <c r="C244" s="12" t="s">
        <v>1336</v>
      </c>
      <c r="D244" s="12" t="s">
        <v>1344</v>
      </c>
      <c r="E244" s="4" t="s">
        <v>1345</v>
      </c>
      <c r="F244" s="4" t="s">
        <v>1345</v>
      </c>
      <c r="G244" s="12" t="s">
        <v>1346</v>
      </c>
      <c r="H244" s="12" t="s">
        <v>1346</v>
      </c>
      <c r="I244" s="4" t="s">
        <v>40</v>
      </c>
      <c r="J244" s="6" t="s">
        <v>41</v>
      </c>
      <c r="K244" s="8" t="s">
        <v>573</v>
      </c>
      <c r="L244" s="8" t="s">
        <v>574</v>
      </c>
      <c r="M244" s="25" t="s">
        <v>1347</v>
      </c>
      <c r="N244" s="25" t="s">
        <v>1348</v>
      </c>
      <c r="O244" s="12" t="s">
        <v>41</v>
      </c>
    </row>
    <row r="245" spans="1:15" ht="43.5" x14ac:dyDescent="0.35">
      <c r="A245" s="29">
        <v>444</v>
      </c>
      <c r="B245" s="7" t="s">
        <v>46</v>
      </c>
      <c r="C245" s="12" t="s">
        <v>1336</v>
      </c>
      <c r="D245" s="12" t="s">
        <v>1349</v>
      </c>
      <c r="E245" s="4" t="s">
        <v>1350</v>
      </c>
      <c r="F245" s="4" t="s">
        <v>1350</v>
      </c>
      <c r="G245" s="12" t="s">
        <v>1351</v>
      </c>
      <c r="H245" s="12" t="s">
        <v>1352</v>
      </c>
      <c r="I245" s="4" t="s">
        <v>40</v>
      </c>
      <c r="J245" s="6" t="s">
        <v>41</v>
      </c>
      <c r="K245" s="8" t="s">
        <v>958</v>
      </c>
      <c r="L245" s="8" t="s">
        <v>43</v>
      </c>
      <c r="M245" s="25" t="s">
        <v>1347</v>
      </c>
      <c r="N245" s="25" t="s">
        <v>1353</v>
      </c>
      <c r="O245" s="12" t="s">
        <v>41</v>
      </c>
    </row>
    <row r="246" spans="1:15" ht="43.5" x14ac:dyDescent="0.35">
      <c r="A246" s="29">
        <v>377</v>
      </c>
      <c r="B246" s="7" t="s">
        <v>46</v>
      </c>
      <c r="C246" s="12" t="s">
        <v>1336</v>
      </c>
      <c r="D246" s="12" t="s">
        <v>1354</v>
      </c>
      <c r="E246" s="4" t="s">
        <v>1355</v>
      </c>
      <c r="F246" s="4" t="s">
        <v>1355</v>
      </c>
      <c r="G246" s="12" t="s">
        <v>1356</v>
      </c>
      <c r="H246" s="12" t="s">
        <v>1357</v>
      </c>
      <c r="I246" s="4" t="s">
        <v>40</v>
      </c>
      <c r="J246" s="6" t="s">
        <v>41</v>
      </c>
      <c r="K246" s="8" t="s">
        <v>1358</v>
      </c>
      <c r="L246" s="8" t="s">
        <v>43</v>
      </c>
      <c r="M246" s="25" t="s">
        <v>1347</v>
      </c>
      <c r="N246" s="25" t="s">
        <v>1359</v>
      </c>
      <c r="O246" s="12" t="s">
        <v>41</v>
      </c>
    </row>
    <row r="247" spans="1:15" ht="43.5" x14ac:dyDescent="0.35">
      <c r="A247" s="29">
        <v>4282</v>
      </c>
      <c r="B247" s="7" t="s">
        <v>46</v>
      </c>
      <c r="C247" s="12" t="s">
        <v>1336</v>
      </c>
      <c r="D247" s="12" t="s">
        <v>1360</v>
      </c>
      <c r="E247" s="4" t="s">
        <v>1361</v>
      </c>
      <c r="F247" s="4" t="s">
        <v>1361</v>
      </c>
      <c r="G247" s="12" t="s">
        <v>1362</v>
      </c>
      <c r="H247" s="12" t="s">
        <v>1362</v>
      </c>
      <c r="I247" s="4" t="s">
        <v>40</v>
      </c>
      <c r="J247" s="6" t="s">
        <v>41</v>
      </c>
      <c r="K247" s="8" t="s">
        <v>922</v>
      </c>
      <c r="L247" s="8" t="s">
        <v>43</v>
      </c>
      <c r="M247" s="25" t="s">
        <v>1347</v>
      </c>
      <c r="N247" s="25" t="s">
        <v>1363</v>
      </c>
      <c r="O247" s="12" t="s">
        <v>41</v>
      </c>
    </row>
    <row r="248" spans="1:15" ht="43.5" x14ac:dyDescent="0.35">
      <c r="A248" s="29">
        <v>438</v>
      </c>
      <c r="B248" s="7" t="s">
        <v>46</v>
      </c>
      <c r="C248" s="12" t="s">
        <v>1336</v>
      </c>
      <c r="D248" s="12" t="s">
        <v>1364</v>
      </c>
      <c r="E248" s="4" t="s">
        <v>1365</v>
      </c>
      <c r="F248" s="4" t="s">
        <v>1365</v>
      </c>
      <c r="G248" s="12" t="s">
        <v>1366</v>
      </c>
      <c r="H248" s="12" t="s">
        <v>1366</v>
      </c>
      <c r="I248" s="4" t="s">
        <v>40</v>
      </c>
      <c r="J248" s="6" t="s">
        <v>41</v>
      </c>
      <c r="K248" s="8" t="s">
        <v>1367</v>
      </c>
      <c r="L248" s="8" t="s">
        <v>43</v>
      </c>
      <c r="M248" s="25" t="s">
        <v>1347</v>
      </c>
      <c r="N248" s="25" t="s">
        <v>1368</v>
      </c>
      <c r="O248" s="12" t="s">
        <v>41</v>
      </c>
    </row>
    <row r="249" spans="1:15" ht="43.5" x14ac:dyDescent="0.35">
      <c r="A249" s="29">
        <v>145</v>
      </c>
      <c r="B249" s="7" t="s">
        <v>46</v>
      </c>
      <c r="C249" s="12" t="s">
        <v>1336</v>
      </c>
      <c r="D249" s="39" t="s">
        <v>1369</v>
      </c>
      <c r="E249" s="6" t="s">
        <v>1370</v>
      </c>
      <c r="F249" s="6" t="s">
        <v>1371</v>
      </c>
      <c r="G249" s="12" t="s">
        <v>1372</v>
      </c>
      <c r="H249" s="12" t="s">
        <v>1372</v>
      </c>
      <c r="I249" s="4" t="s">
        <v>40</v>
      </c>
      <c r="J249" s="6" t="s">
        <v>41</v>
      </c>
      <c r="K249" s="8" t="s">
        <v>1373</v>
      </c>
      <c r="L249" s="8" t="s">
        <v>1374</v>
      </c>
      <c r="M249" s="25" t="s">
        <v>1375</v>
      </c>
      <c r="N249" s="25" t="s">
        <v>1376</v>
      </c>
      <c r="O249" s="12" t="s">
        <v>1377</v>
      </c>
    </row>
    <row r="250" spans="1:15" ht="43.5" x14ac:dyDescent="0.35">
      <c r="A250" s="29">
        <v>4314</v>
      </c>
      <c r="B250" s="7" t="s">
        <v>46</v>
      </c>
      <c r="C250" s="12" t="s">
        <v>1336</v>
      </c>
      <c r="D250" s="12" t="s">
        <v>1378</v>
      </c>
      <c r="E250" s="4" t="s">
        <v>1379</v>
      </c>
      <c r="F250" s="4" t="s">
        <v>1379</v>
      </c>
      <c r="G250" s="12" t="s">
        <v>1380</v>
      </c>
      <c r="H250" s="12" t="s">
        <v>1380</v>
      </c>
      <c r="I250" s="4" t="s">
        <v>40</v>
      </c>
      <c r="J250" s="6" t="s">
        <v>41</v>
      </c>
      <c r="K250" s="8" t="s">
        <v>1024</v>
      </c>
      <c r="L250" s="8" t="s">
        <v>43</v>
      </c>
      <c r="M250" s="25" t="s">
        <v>1347</v>
      </c>
      <c r="N250" s="25" t="s">
        <v>1381</v>
      </c>
      <c r="O250" s="12" t="s">
        <v>41</v>
      </c>
    </row>
    <row r="251" spans="1:15" ht="43.5" x14ac:dyDescent="0.35">
      <c r="A251" s="29">
        <v>4315</v>
      </c>
      <c r="B251" s="7" t="s">
        <v>46</v>
      </c>
      <c r="C251" s="12" t="s">
        <v>1336</v>
      </c>
      <c r="D251" s="12" t="s">
        <v>1382</v>
      </c>
      <c r="E251" s="4" t="s">
        <v>1383</v>
      </c>
      <c r="F251" s="4" t="s">
        <v>1383</v>
      </c>
      <c r="G251" s="12" t="s">
        <v>1384</v>
      </c>
      <c r="H251" s="12" t="s">
        <v>1385</v>
      </c>
      <c r="I251" s="4" t="s">
        <v>40</v>
      </c>
      <c r="J251" s="6" t="s">
        <v>41</v>
      </c>
      <c r="K251" s="8" t="s">
        <v>573</v>
      </c>
      <c r="L251" s="8" t="s">
        <v>574</v>
      </c>
      <c r="M251" s="25" t="s">
        <v>1347</v>
      </c>
      <c r="N251" s="25" t="s">
        <v>1386</v>
      </c>
      <c r="O251" s="12" t="s">
        <v>41</v>
      </c>
    </row>
    <row r="252" spans="1:15" ht="43.5" x14ac:dyDescent="0.35">
      <c r="A252" s="29">
        <v>686</v>
      </c>
      <c r="B252" s="7" t="s">
        <v>46</v>
      </c>
      <c r="C252" s="12" t="s">
        <v>1336</v>
      </c>
      <c r="D252" s="12" t="s">
        <v>1387</v>
      </c>
      <c r="E252" s="4" t="s">
        <v>1388</v>
      </c>
      <c r="F252" s="4" t="s">
        <v>1388</v>
      </c>
      <c r="G252" s="12" t="s">
        <v>1389</v>
      </c>
      <c r="H252" s="12" t="s">
        <v>1390</v>
      </c>
      <c r="I252" s="4" t="s">
        <v>40</v>
      </c>
      <c r="J252" s="6" t="s">
        <v>41</v>
      </c>
      <c r="K252" s="8" t="s">
        <v>66</v>
      </c>
      <c r="L252" s="30" t="s">
        <v>67</v>
      </c>
      <c r="M252" s="25" t="s">
        <v>1347</v>
      </c>
      <c r="N252" s="25" t="s">
        <v>1391</v>
      </c>
      <c r="O252" s="12" t="s">
        <v>41</v>
      </c>
    </row>
    <row r="253" spans="1:15" ht="43.5" x14ac:dyDescent="0.35">
      <c r="A253" s="29">
        <v>4303</v>
      </c>
      <c r="B253" s="7" t="s">
        <v>46</v>
      </c>
      <c r="C253" s="12" t="s">
        <v>1336</v>
      </c>
      <c r="D253" s="12" t="s">
        <v>1392</v>
      </c>
      <c r="E253" s="4" t="s">
        <v>1393</v>
      </c>
      <c r="F253" s="4" t="s">
        <v>1393</v>
      </c>
      <c r="G253" s="12" t="s">
        <v>1394</v>
      </c>
      <c r="H253" s="12" t="s">
        <v>1394</v>
      </c>
      <c r="I253" s="4" t="s">
        <v>40</v>
      </c>
      <c r="J253" s="6" t="s">
        <v>41</v>
      </c>
      <c r="K253" s="8" t="s">
        <v>1395</v>
      </c>
      <c r="L253" s="30" t="s">
        <v>67</v>
      </c>
      <c r="M253" s="25" t="s">
        <v>1347</v>
      </c>
      <c r="N253" s="25" t="s">
        <v>1396</v>
      </c>
      <c r="O253" s="12" t="s">
        <v>41</v>
      </c>
    </row>
    <row r="254" spans="1:15" ht="29" x14ac:dyDescent="0.35">
      <c r="A254" s="29">
        <v>104</v>
      </c>
      <c r="B254" s="7" t="s">
        <v>46</v>
      </c>
      <c r="C254" s="12" t="s">
        <v>1336</v>
      </c>
      <c r="D254" s="12" t="s">
        <v>1397</v>
      </c>
      <c r="E254" s="4" t="s">
        <v>1398</v>
      </c>
      <c r="F254" s="4" t="s">
        <v>1398</v>
      </c>
      <c r="G254" s="12" t="s">
        <v>1399</v>
      </c>
      <c r="H254" s="12" t="s">
        <v>1399</v>
      </c>
      <c r="I254" s="4" t="s">
        <v>40</v>
      </c>
      <c r="J254" s="6" t="s">
        <v>41</v>
      </c>
      <c r="K254" s="8" t="s">
        <v>1400</v>
      </c>
      <c r="L254" s="8" t="s">
        <v>43</v>
      </c>
      <c r="M254" s="25" t="s">
        <v>1375</v>
      </c>
      <c r="N254" s="25" t="s">
        <v>1401</v>
      </c>
      <c r="O254" s="12" t="s">
        <v>1402</v>
      </c>
    </row>
    <row r="255" spans="1:15" ht="29" x14ac:dyDescent="0.35">
      <c r="A255" s="29">
        <v>105</v>
      </c>
      <c r="B255" s="7" t="s">
        <v>46</v>
      </c>
      <c r="C255" s="12" t="s">
        <v>1336</v>
      </c>
      <c r="D255" s="12" t="s">
        <v>1403</v>
      </c>
      <c r="E255" s="4" t="s">
        <v>1404</v>
      </c>
      <c r="F255" s="4" t="s">
        <v>1404</v>
      </c>
      <c r="G255" s="12" t="s">
        <v>1405</v>
      </c>
      <c r="H255" s="12" t="s">
        <v>1405</v>
      </c>
      <c r="I255" s="4" t="s">
        <v>40</v>
      </c>
      <c r="J255" s="6" t="s">
        <v>41</v>
      </c>
      <c r="K255" s="5" t="s">
        <v>1406</v>
      </c>
      <c r="L255" s="8" t="s">
        <v>67</v>
      </c>
      <c r="M255" s="25" t="s">
        <v>1407</v>
      </c>
      <c r="N255" s="25" t="s">
        <v>1408</v>
      </c>
      <c r="O255" s="12" t="s">
        <v>41</v>
      </c>
    </row>
    <row r="256" spans="1:15" ht="43.5" x14ac:dyDescent="0.35">
      <c r="A256" s="29">
        <v>707</v>
      </c>
      <c r="B256" s="7" t="s">
        <v>46</v>
      </c>
      <c r="C256" s="12" t="s">
        <v>1336</v>
      </c>
      <c r="D256" s="12" t="s">
        <v>1409</v>
      </c>
      <c r="E256" s="4" t="s">
        <v>1410</v>
      </c>
      <c r="F256" s="4" t="s">
        <v>1410</v>
      </c>
      <c r="G256" s="12" t="s">
        <v>1411</v>
      </c>
      <c r="H256" s="12" t="s">
        <v>1411</v>
      </c>
      <c r="I256" s="4" t="s">
        <v>40</v>
      </c>
      <c r="J256" s="6" t="s">
        <v>41</v>
      </c>
      <c r="K256" s="8" t="s">
        <v>1412</v>
      </c>
      <c r="L256" s="30" t="s">
        <v>314</v>
      </c>
      <c r="M256" s="25" t="s">
        <v>1347</v>
      </c>
      <c r="N256" s="25" t="s">
        <v>1413</v>
      </c>
      <c r="O256" s="12" t="s">
        <v>41</v>
      </c>
    </row>
    <row r="257" spans="1:15" ht="43.5" x14ac:dyDescent="0.35">
      <c r="A257" s="29">
        <v>708</v>
      </c>
      <c r="B257" s="7" t="s">
        <v>46</v>
      </c>
      <c r="C257" s="12" t="s">
        <v>1336</v>
      </c>
      <c r="D257" s="12" t="s">
        <v>1414</v>
      </c>
      <c r="E257" s="4" t="s">
        <v>1415</v>
      </c>
      <c r="F257" s="4" t="s">
        <v>1415</v>
      </c>
      <c r="G257" s="12" t="s">
        <v>1416</v>
      </c>
      <c r="H257" s="12" t="s">
        <v>1416</v>
      </c>
      <c r="I257" s="4" t="s">
        <v>40</v>
      </c>
      <c r="J257" s="6" t="s">
        <v>41</v>
      </c>
      <c r="K257" s="8" t="s">
        <v>1412</v>
      </c>
      <c r="L257" s="30" t="s">
        <v>314</v>
      </c>
      <c r="M257" s="25" t="s">
        <v>1347</v>
      </c>
      <c r="N257" s="25" t="s">
        <v>1417</v>
      </c>
      <c r="O257" s="12" t="s">
        <v>41</v>
      </c>
    </row>
    <row r="258" spans="1:15" ht="43.5" x14ac:dyDescent="0.35">
      <c r="A258" s="29">
        <v>706</v>
      </c>
      <c r="B258" s="7" t="s">
        <v>46</v>
      </c>
      <c r="C258" s="12" t="s">
        <v>1336</v>
      </c>
      <c r="D258" s="12" t="s">
        <v>1418</v>
      </c>
      <c r="E258" s="4" t="s">
        <v>1419</v>
      </c>
      <c r="F258" s="4" t="s">
        <v>1419</v>
      </c>
      <c r="G258" s="12" t="s">
        <v>1420</v>
      </c>
      <c r="H258" s="12" t="s">
        <v>1421</v>
      </c>
      <c r="I258" s="4" t="s">
        <v>40</v>
      </c>
      <c r="J258" s="6" t="s">
        <v>41</v>
      </c>
      <c r="K258" s="8" t="s">
        <v>1422</v>
      </c>
      <c r="L258" s="30" t="s">
        <v>314</v>
      </c>
      <c r="M258" s="25" t="s">
        <v>1347</v>
      </c>
      <c r="N258" s="25" t="s">
        <v>1423</v>
      </c>
      <c r="O258" s="12" t="s">
        <v>41</v>
      </c>
    </row>
    <row r="259" spans="1:15" ht="43.5" x14ac:dyDescent="0.35">
      <c r="A259" s="29">
        <v>4310</v>
      </c>
      <c r="B259" s="7" t="s">
        <v>46</v>
      </c>
      <c r="C259" s="12" t="s">
        <v>1336</v>
      </c>
      <c r="D259" s="12" t="s">
        <v>1424</v>
      </c>
      <c r="E259" s="4" t="s">
        <v>1425</v>
      </c>
      <c r="F259" s="4" t="s">
        <v>1425</v>
      </c>
      <c r="G259" s="12" t="s">
        <v>1426</v>
      </c>
      <c r="H259" s="12" t="s">
        <v>1426</v>
      </c>
      <c r="I259" s="4" t="s">
        <v>40</v>
      </c>
      <c r="J259" s="6" t="s">
        <v>41</v>
      </c>
      <c r="K259" s="8" t="s">
        <v>1427</v>
      </c>
      <c r="L259" s="8" t="s">
        <v>43</v>
      </c>
      <c r="M259" s="25" t="s">
        <v>1347</v>
      </c>
      <c r="N259" s="25" t="s">
        <v>1428</v>
      </c>
      <c r="O259" s="12" t="s">
        <v>41</v>
      </c>
    </row>
    <row r="260" spans="1:15" ht="29" x14ac:dyDescent="0.35">
      <c r="A260" s="29">
        <v>237</v>
      </c>
      <c r="B260" s="7" t="s">
        <v>46</v>
      </c>
      <c r="C260" s="12" t="s">
        <v>1336</v>
      </c>
      <c r="D260" s="12" t="s">
        <v>1429</v>
      </c>
      <c r="E260" s="4" t="s">
        <v>1430</v>
      </c>
      <c r="F260" s="4" t="s">
        <v>1430</v>
      </c>
      <c r="G260" s="12" t="s">
        <v>1431</v>
      </c>
      <c r="H260" s="12" t="s">
        <v>1432</v>
      </c>
      <c r="I260" s="4" t="s">
        <v>40</v>
      </c>
      <c r="J260" s="6" t="s">
        <v>41</v>
      </c>
      <c r="K260" s="8" t="s">
        <v>1433</v>
      </c>
      <c r="L260" s="8" t="s">
        <v>43</v>
      </c>
      <c r="M260" s="25" t="s">
        <v>1375</v>
      </c>
      <c r="N260" s="25" t="s">
        <v>1434</v>
      </c>
      <c r="O260" s="12" t="s">
        <v>41</v>
      </c>
    </row>
    <row r="261" spans="1:15" ht="43.5" x14ac:dyDescent="0.35">
      <c r="A261" s="29">
        <v>167</v>
      </c>
      <c r="B261" s="7" t="s">
        <v>46</v>
      </c>
      <c r="C261" s="12" t="s">
        <v>1336</v>
      </c>
      <c r="D261" s="12" t="s">
        <v>1435</v>
      </c>
      <c r="E261" s="4" t="s">
        <v>1436</v>
      </c>
      <c r="F261" s="4" t="s">
        <v>1437</v>
      </c>
      <c r="G261" s="12" t="s">
        <v>1438</v>
      </c>
      <c r="H261" s="12" t="s">
        <v>1439</v>
      </c>
      <c r="I261" s="4" t="s">
        <v>40</v>
      </c>
      <c r="J261" s="6" t="s">
        <v>41</v>
      </c>
      <c r="K261" s="8" t="s">
        <v>1440</v>
      </c>
      <c r="L261" s="8" t="s">
        <v>43</v>
      </c>
      <c r="M261" s="25" t="s">
        <v>1441</v>
      </c>
      <c r="N261" s="25" t="s">
        <v>1442</v>
      </c>
      <c r="O261" s="12" t="s">
        <v>1443</v>
      </c>
    </row>
    <row r="262" spans="1:15" ht="43.5" x14ac:dyDescent="0.35">
      <c r="A262" s="29">
        <v>752</v>
      </c>
      <c r="B262" s="7" t="s">
        <v>46</v>
      </c>
      <c r="C262" s="12" t="s">
        <v>1336</v>
      </c>
      <c r="D262" s="12" t="s">
        <v>1444</v>
      </c>
      <c r="E262" s="4" t="s">
        <v>1445</v>
      </c>
      <c r="F262" s="4" t="s">
        <v>1445</v>
      </c>
      <c r="G262" s="12" t="s">
        <v>1446</v>
      </c>
      <c r="H262" s="12" t="s">
        <v>1447</v>
      </c>
      <c r="I262" s="4" t="s">
        <v>40</v>
      </c>
      <c r="J262" s="6" t="s">
        <v>41</v>
      </c>
      <c r="K262" s="8" t="s">
        <v>75</v>
      </c>
      <c r="L262" s="8" t="s">
        <v>43</v>
      </c>
      <c r="M262" s="25" t="s">
        <v>1347</v>
      </c>
      <c r="N262" s="25" t="s">
        <v>1448</v>
      </c>
      <c r="O262" s="12" t="s">
        <v>41</v>
      </c>
    </row>
    <row r="263" spans="1:15" ht="29" x14ac:dyDescent="0.35">
      <c r="A263" s="29">
        <v>229</v>
      </c>
      <c r="B263" s="7" t="s">
        <v>46</v>
      </c>
      <c r="C263" s="12" t="s">
        <v>1336</v>
      </c>
      <c r="D263" s="12" t="s">
        <v>1449</v>
      </c>
      <c r="E263" s="4" t="s">
        <v>1450</v>
      </c>
      <c r="F263" s="4" t="s">
        <v>1451</v>
      </c>
      <c r="G263" s="12" t="s">
        <v>1452</v>
      </c>
      <c r="H263" s="12" t="s">
        <v>1452</v>
      </c>
      <c r="I263" s="4" t="s">
        <v>40</v>
      </c>
      <c r="J263" s="6" t="s">
        <v>41</v>
      </c>
      <c r="K263" s="8" t="s">
        <v>1453</v>
      </c>
      <c r="L263" s="8" t="s">
        <v>43</v>
      </c>
      <c r="M263" s="25" t="s">
        <v>1441</v>
      </c>
      <c r="N263" s="25" t="s">
        <v>1454</v>
      </c>
      <c r="O263" s="12" t="s">
        <v>1455</v>
      </c>
    </row>
    <row r="264" spans="1:15" ht="43.5" x14ac:dyDescent="0.35">
      <c r="A264" s="29">
        <v>751</v>
      </c>
      <c r="B264" s="7" t="s">
        <v>46</v>
      </c>
      <c r="C264" s="12" t="s">
        <v>1336</v>
      </c>
      <c r="D264" s="12" t="s">
        <v>1456</v>
      </c>
      <c r="E264" s="4" t="s">
        <v>1457</v>
      </c>
      <c r="F264" s="4" t="s">
        <v>1457</v>
      </c>
      <c r="G264" s="12" t="s">
        <v>1458</v>
      </c>
      <c r="H264" s="12" t="s">
        <v>1459</v>
      </c>
      <c r="I264" s="4" t="s">
        <v>40</v>
      </c>
      <c r="J264" s="6" t="s">
        <v>41</v>
      </c>
      <c r="K264" s="8" t="s">
        <v>75</v>
      </c>
      <c r="L264" s="8" t="s">
        <v>43</v>
      </c>
      <c r="M264" s="25" t="s">
        <v>1347</v>
      </c>
      <c r="N264" s="25" t="s">
        <v>1460</v>
      </c>
      <c r="O264" s="12" t="s">
        <v>41</v>
      </c>
    </row>
    <row r="265" spans="1:15" ht="43.5" x14ac:dyDescent="0.35">
      <c r="A265" s="29">
        <v>291</v>
      </c>
      <c r="B265" s="7" t="s">
        <v>46</v>
      </c>
      <c r="C265" s="12" t="s">
        <v>1336</v>
      </c>
      <c r="D265" s="12" t="s">
        <v>1461</v>
      </c>
      <c r="E265" s="4" t="s">
        <v>1462</v>
      </c>
      <c r="F265" s="4" t="s">
        <v>1462</v>
      </c>
      <c r="G265" s="12" t="s">
        <v>1463</v>
      </c>
      <c r="H265" s="12" t="s">
        <v>1464</v>
      </c>
      <c r="I265" s="4" t="s">
        <v>40</v>
      </c>
      <c r="J265" s="6" t="s">
        <v>41</v>
      </c>
      <c r="K265" s="8" t="s">
        <v>1465</v>
      </c>
      <c r="L265" s="8" t="s">
        <v>59</v>
      </c>
      <c r="M265" s="25" t="s">
        <v>1347</v>
      </c>
      <c r="N265" s="25" t="s">
        <v>1466</v>
      </c>
      <c r="O265" s="12" t="s">
        <v>41</v>
      </c>
    </row>
    <row r="266" spans="1:15" ht="29" x14ac:dyDescent="0.35">
      <c r="A266" s="29">
        <v>143</v>
      </c>
      <c r="B266" s="7" t="s">
        <v>46</v>
      </c>
      <c r="C266" s="12" t="s">
        <v>1336</v>
      </c>
      <c r="D266" s="12" t="s">
        <v>1467</v>
      </c>
      <c r="E266" s="4" t="s">
        <v>1468</v>
      </c>
      <c r="F266" s="4" t="s">
        <v>1468</v>
      </c>
      <c r="G266" s="12" t="s">
        <v>1469</v>
      </c>
      <c r="H266" s="12" t="s">
        <v>1470</v>
      </c>
      <c r="I266" s="4" t="s">
        <v>40</v>
      </c>
      <c r="J266" s="6" t="s">
        <v>41</v>
      </c>
      <c r="K266" s="8" t="s">
        <v>1471</v>
      </c>
      <c r="L266" s="8" t="s">
        <v>43</v>
      </c>
      <c r="M266" s="25" t="s">
        <v>1472</v>
      </c>
      <c r="N266" s="25" t="s">
        <v>1473</v>
      </c>
      <c r="O266" s="12" t="s">
        <v>41</v>
      </c>
    </row>
    <row r="267" spans="1:15" ht="43.5" x14ac:dyDescent="0.35">
      <c r="A267" s="29">
        <v>336</v>
      </c>
      <c r="B267" s="7" t="s">
        <v>46</v>
      </c>
      <c r="C267" s="12" t="s">
        <v>1336</v>
      </c>
      <c r="D267" s="12" t="s">
        <v>1474</v>
      </c>
      <c r="E267" s="4" t="s">
        <v>1475</v>
      </c>
      <c r="F267" s="4" t="s">
        <v>1475</v>
      </c>
      <c r="G267" s="12" t="s">
        <v>1476</v>
      </c>
      <c r="H267" s="12" t="s">
        <v>1476</v>
      </c>
      <c r="I267" s="4" t="s">
        <v>40</v>
      </c>
      <c r="J267" s="6" t="s">
        <v>41</v>
      </c>
      <c r="K267" s="8" t="s">
        <v>539</v>
      </c>
      <c r="L267" s="8" t="s">
        <v>314</v>
      </c>
      <c r="M267" s="25" t="s">
        <v>1347</v>
      </c>
      <c r="N267" s="25" t="s">
        <v>1477</v>
      </c>
      <c r="O267" s="12" t="s">
        <v>41</v>
      </c>
    </row>
    <row r="268" spans="1:15" ht="58" x14ac:dyDescent="0.35">
      <c r="A268" s="29">
        <v>4236</v>
      </c>
      <c r="B268" s="7" t="s">
        <v>46</v>
      </c>
      <c r="C268" s="12" t="s">
        <v>1336</v>
      </c>
      <c r="D268" s="12" t="s">
        <v>1478</v>
      </c>
      <c r="E268" s="4" t="s">
        <v>1479</v>
      </c>
      <c r="F268" s="4" t="s">
        <v>1479</v>
      </c>
      <c r="G268" s="12" t="s">
        <v>1480</v>
      </c>
      <c r="H268" s="12" t="s">
        <v>1480</v>
      </c>
      <c r="I268" s="4" t="s">
        <v>40</v>
      </c>
      <c r="J268" s="6" t="s">
        <v>41</v>
      </c>
      <c r="K268" s="8" t="s">
        <v>1481</v>
      </c>
      <c r="L268" s="30" t="s">
        <v>314</v>
      </c>
      <c r="M268" s="25" t="s">
        <v>1482</v>
      </c>
      <c r="N268" s="25" t="s">
        <v>1483</v>
      </c>
      <c r="O268" s="8" t="s">
        <v>1484</v>
      </c>
    </row>
    <row r="269" spans="1:15" ht="43.5" x14ac:dyDescent="0.35">
      <c r="A269" s="29">
        <v>209</v>
      </c>
      <c r="B269" s="7" t="s">
        <v>46</v>
      </c>
      <c r="C269" s="12" t="s">
        <v>1336</v>
      </c>
      <c r="D269" s="12" t="s">
        <v>1485</v>
      </c>
      <c r="E269" s="4" t="s">
        <v>1486</v>
      </c>
      <c r="F269" s="4" t="s">
        <v>1486</v>
      </c>
      <c r="G269" s="12" t="s">
        <v>1487</v>
      </c>
      <c r="H269" s="12" t="s">
        <v>1487</v>
      </c>
      <c r="I269" s="4" t="s">
        <v>40</v>
      </c>
      <c r="J269" s="6" t="s">
        <v>41</v>
      </c>
      <c r="K269" s="8" t="s">
        <v>1488</v>
      </c>
      <c r="L269" s="8" t="s">
        <v>67</v>
      </c>
      <c r="M269" s="25" t="s">
        <v>1489</v>
      </c>
      <c r="N269" s="25" t="s">
        <v>1490</v>
      </c>
      <c r="O269" s="12" t="s">
        <v>1491</v>
      </c>
    </row>
    <row r="270" spans="1:15" ht="43.5" x14ac:dyDescent="0.35">
      <c r="A270" s="29">
        <v>234</v>
      </c>
      <c r="B270" s="7" t="s">
        <v>46</v>
      </c>
      <c r="C270" s="12" t="s">
        <v>1336</v>
      </c>
      <c r="D270" s="12" t="s">
        <v>1492</v>
      </c>
      <c r="E270" s="4" t="s">
        <v>1493</v>
      </c>
      <c r="F270" s="4" t="s">
        <v>1493</v>
      </c>
      <c r="G270" s="12" t="s">
        <v>1494</v>
      </c>
      <c r="H270" s="12" t="s">
        <v>1494</v>
      </c>
      <c r="I270" s="4" t="s">
        <v>40</v>
      </c>
      <c r="J270" s="6" t="s">
        <v>41</v>
      </c>
      <c r="K270" s="8" t="s">
        <v>1495</v>
      </c>
      <c r="L270" s="8" t="s">
        <v>43</v>
      </c>
      <c r="M270" s="25" t="s">
        <v>1496</v>
      </c>
      <c r="N270" s="25" t="s">
        <v>1497</v>
      </c>
      <c r="O270" s="12" t="s">
        <v>41</v>
      </c>
    </row>
    <row r="271" spans="1:15" ht="43.5" x14ac:dyDescent="0.35">
      <c r="A271" s="29">
        <v>233</v>
      </c>
      <c r="B271" s="7" t="s">
        <v>46</v>
      </c>
      <c r="C271" s="12" t="s">
        <v>1336</v>
      </c>
      <c r="D271" s="12" t="s">
        <v>1498</v>
      </c>
      <c r="E271" s="4" t="s">
        <v>1499</v>
      </c>
      <c r="F271" s="4" t="s">
        <v>1499</v>
      </c>
      <c r="G271" s="12" t="s">
        <v>1500</v>
      </c>
      <c r="H271" s="12" t="s">
        <v>1500</v>
      </c>
      <c r="I271" s="4" t="s">
        <v>40</v>
      </c>
      <c r="J271" s="6" t="s">
        <v>41</v>
      </c>
      <c r="K271" s="8" t="s">
        <v>1495</v>
      </c>
      <c r="L271" s="8" t="s">
        <v>43</v>
      </c>
      <c r="M271" s="25" t="s">
        <v>1496</v>
      </c>
      <c r="N271" s="25" t="s">
        <v>1501</v>
      </c>
      <c r="O271" s="12" t="s">
        <v>41</v>
      </c>
    </row>
    <row r="272" spans="1:15" ht="43.5" x14ac:dyDescent="0.35">
      <c r="A272" s="29">
        <v>90</v>
      </c>
      <c r="B272" s="7" t="s">
        <v>46</v>
      </c>
      <c r="C272" s="12" t="s">
        <v>1336</v>
      </c>
      <c r="D272" s="12" t="s">
        <v>1502</v>
      </c>
      <c r="E272" s="4" t="s">
        <v>1503</v>
      </c>
      <c r="F272" s="4" t="s">
        <v>1503</v>
      </c>
      <c r="G272" s="12" t="s">
        <v>1504</v>
      </c>
      <c r="H272" s="12" t="s">
        <v>1505</v>
      </c>
      <c r="I272" s="4" t="s">
        <v>40</v>
      </c>
      <c r="J272" s="6" t="s">
        <v>41</v>
      </c>
      <c r="K272" s="5" t="s">
        <v>1506</v>
      </c>
      <c r="L272" s="8" t="s">
        <v>67</v>
      </c>
      <c r="M272" s="25" t="s">
        <v>1496</v>
      </c>
      <c r="N272" s="25" t="s">
        <v>1507</v>
      </c>
      <c r="O272" s="12" t="s">
        <v>41</v>
      </c>
    </row>
    <row r="273" spans="1:15" ht="43.5" x14ac:dyDescent="0.35">
      <c r="A273" s="29">
        <v>50</v>
      </c>
      <c r="B273" s="7" t="s">
        <v>46</v>
      </c>
      <c r="C273" s="12" t="s">
        <v>1336</v>
      </c>
      <c r="D273" s="12" t="s">
        <v>1508</v>
      </c>
      <c r="E273" s="4" t="s">
        <v>697</v>
      </c>
      <c r="F273" s="4" t="s">
        <v>697</v>
      </c>
      <c r="G273" s="12" t="s">
        <v>1509</v>
      </c>
      <c r="H273" s="12" t="s">
        <v>1509</v>
      </c>
      <c r="I273" s="4" t="s">
        <v>40</v>
      </c>
      <c r="J273" s="6" t="s">
        <v>41</v>
      </c>
      <c r="K273" s="5" t="s">
        <v>1510</v>
      </c>
      <c r="L273" s="8" t="s">
        <v>67</v>
      </c>
      <c r="M273" s="25" t="s">
        <v>1496</v>
      </c>
      <c r="N273" s="25" t="s">
        <v>1511</v>
      </c>
      <c r="O273" s="12" t="s">
        <v>41</v>
      </c>
    </row>
    <row r="274" spans="1:15" ht="43.5" x14ac:dyDescent="0.35">
      <c r="A274" s="29">
        <v>4248</v>
      </c>
      <c r="B274" s="7" t="s">
        <v>46</v>
      </c>
      <c r="C274" s="12" t="s">
        <v>1336</v>
      </c>
      <c r="D274" s="12" t="s">
        <v>1512</v>
      </c>
      <c r="E274" s="4" t="s">
        <v>1513</v>
      </c>
      <c r="F274" s="4" t="s">
        <v>1513</v>
      </c>
      <c r="G274" s="12" t="s">
        <v>1514</v>
      </c>
      <c r="H274" s="12" t="s">
        <v>1514</v>
      </c>
      <c r="I274" s="4" t="s">
        <v>40</v>
      </c>
      <c r="J274" s="6" t="s">
        <v>41</v>
      </c>
      <c r="K274" s="8" t="s">
        <v>1515</v>
      </c>
      <c r="L274" s="8" t="s">
        <v>43</v>
      </c>
      <c r="M274" s="25" t="s">
        <v>1347</v>
      </c>
      <c r="N274" s="25" t="s">
        <v>1516</v>
      </c>
      <c r="O274" s="12" t="s">
        <v>41</v>
      </c>
    </row>
    <row r="275" spans="1:15" ht="43.5" x14ac:dyDescent="0.35">
      <c r="A275" s="29">
        <v>4304</v>
      </c>
      <c r="B275" s="7" t="s">
        <v>46</v>
      </c>
      <c r="C275" s="12" t="s">
        <v>1336</v>
      </c>
      <c r="D275" s="12" t="s">
        <v>1517</v>
      </c>
      <c r="E275" s="21" t="s">
        <v>1518</v>
      </c>
      <c r="F275" s="21" t="s">
        <v>1518</v>
      </c>
      <c r="G275" s="12" t="s">
        <v>1519</v>
      </c>
      <c r="H275" s="12" t="s">
        <v>1520</v>
      </c>
      <c r="I275" s="4" t="s">
        <v>40</v>
      </c>
      <c r="J275" s="6" t="s">
        <v>41</v>
      </c>
      <c r="K275" s="8" t="s">
        <v>1521</v>
      </c>
      <c r="L275" s="30" t="s">
        <v>314</v>
      </c>
      <c r="M275" s="25" t="s">
        <v>1347</v>
      </c>
      <c r="N275" s="25" t="s">
        <v>1522</v>
      </c>
      <c r="O275" s="12" t="s">
        <v>41</v>
      </c>
    </row>
    <row r="276" spans="1:15" ht="43.5" x14ac:dyDescent="0.35">
      <c r="A276" s="29">
        <v>4321</v>
      </c>
      <c r="B276" s="7" t="s">
        <v>46</v>
      </c>
      <c r="C276" s="12" t="s">
        <v>1336</v>
      </c>
      <c r="D276" s="12" t="s">
        <v>1523</v>
      </c>
      <c r="E276" s="4" t="s">
        <v>1524</v>
      </c>
      <c r="F276" s="4" t="s">
        <v>1524</v>
      </c>
      <c r="G276" s="12" t="s">
        <v>1525</v>
      </c>
      <c r="H276" s="12" t="s">
        <v>1526</v>
      </c>
      <c r="I276" s="4" t="s">
        <v>40</v>
      </c>
      <c r="J276" s="6" t="s">
        <v>41</v>
      </c>
      <c r="K276" s="8" t="s">
        <v>1527</v>
      </c>
      <c r="L276" s="8" t="s">
        <v>314</v>
      </c>
      <c r="M276" s="25" t="s">
        <v>1347</v>
      </c>
      <c r="N276" s="25" t="s">
        <v>1528</v>
      </c>
      <c r="O276" s="12" t="s">
        <v>41</v>
      </c>
    </row>
    <row r="277" spans="1:15" ht="43.5" x14ac:dyDescent="0.35">
      <c r="A277" s="29">
        <v>548</v>
      </c>
      <c r="B277" s="7" t="s">
        <v>46</v>
      </c>
      <c r="C277" s="12" t="s">
        <v>1336</v>
      </c>
      <c r="D277" s="12" t="s">
        <v>1529</v>
      </c>
      <c r="E277" s="4" t="s">
        <v>1530</v>
      </c>
      <c r="F277" s="4" t="s">
        <v>1530</v>
      </c>
      <c r="G277" s="12" t="s">
        <v>1531</v>
      </c>
      <c r="H277" s="12" t="s">
        <v>1532</v>
      </c>
      <c r="I277" s="4" t="s">
        <v>40</v>
      </c>
      <c r="J277" s="6" t="s">
        <v>41</v>
      </c>
      <c r="K277" s="8" t="s">
        <v>210</v>
      </c>
      <c r="L277" s="8" t="s">
        <v>43</v>
      </c>
      <c r="M277" s="25" t="s">
        <v>1347</v>
      </c>
      <c r="N277" s="25" t="s">
        <v>1533</v>
      </c>
      <c r="O277" s="12" t="s">
        <v>41</v>
      </c>
    </row>
    <row r="278" spans="1:15" ht="43.5" x14ac:dyDescent="0.35">
      <c r="A278" s="29">
        <v>4294</v>
      </c>
      <c r="B278" s="7" t="s">
        <v>46</v>
      </c>
      <c r="C278" s="12" t="s">
        <v>1336</v>
      </c>
      <c r="D278" s="12" t="s">
        <v>1534</v>
      </c>
      <c r="E278" s="4" t="s">
        <v>1535</v>
      </c>
      <c r="F278" s="4" t="s">
        <v>1535</v>
      </c>
      <c r="G278" s="12" t="s">
        <v>1536</v>
      </c>
      <c r="H278" s="12" t="s">
        <v>1536</v>
      </c>
      <c r="I278" s="4" t="s">
        <v>40</v>
      </c>
      <c r="J278" s="6" t="s">
        <v>41</v>
      </c>
      <c r="K278" s="8" t="s">
        <v>579</v>
      </c>
      <c r="L278" s="8" t="s">
        <v>67</v>
      </c>
      <c r="M278" s="25" t="s">
        <v>1347</v>
      </c>
      <c r="N278" s="25" t="s">
        <v>1537</v>
      </c>
      <c r="O278" s="12" t="s">
        <v>41</v>
      </c>
    </row>
    <row r="279" spans="1:15" ht="43.5" x14ac:dyDescent="0.35">
      <c r="A279" s="29">
        <v>379</v>
      </c>
      <c r="B279" s="7" t="s">
        <v>46</v>
      </c>
      <c r="C279" s="12" t="s">
        <v>1336</v>
      </c>
      <c r="D279" s="12" t="s">
        <v>1538</v>
      </c>
      <c r="E279" s="4" t="s">
        <v>1524</v>
      </c>
      <c r="F279" s="4" t="s">
        <v>1524</v>
      </c>
      <c r="G279" s="40" t="s">
        <v>1539</v>
      </c>
      <c r="H279" s="12" t="s">
        <v>1540</v>
      </c>
      <c r="I279" s="4" t="s">
        <v>40</v>
      </c>
      <c r="J279" s="6" t="s">
        <v>41</v>
      </c>
      <c r="K279" s="8" t="s">
        <v>958</v>
      </c>
      <c r="L279" s="8" t="s">
        <v>43</v>
      </c>
      <c r="M279" s="25" t="s">
        <v>1347</v>
      </c>
      <c r="N279" s="25" t="s">
        <v>1541</v>
      </c>
      <c r="O279" s="12" t="s">
        <v>41</v>
      </c>
    </row>
    <row r="280" spans="1:15" ht="43.5" x14ac:dyDescent="0.35">
      <c r="A280" s="29">
        <v>398</v>
      </c>
      <c r="B280" s="7" t="s">
        <v>46</v>
      </c>
      <c r="C280" s="12" t="s">
        <v>1336</v>
      </c>
      <c r="D280" s="12" t="s">
        <v>1542</v>
      </c>
      <c r="E280" s="4" t="s">
        <v>1543</v>
      </c>
      <c r="F280" s="4" t="s">
        <v>1543</v>
      </c>
      <c r="G280" s="12" t="s">
        <v>1544</v>
      </c>
      <c r="H280" s="12" t="s">
        <v>1544</v>
      </c>
      <c r="I280" s="4" t="s">
        <v>40</v>
      </c>
      <c r="J280" s="6" t="s">
        <v>41</v>
      </c>
      <c r="K280" s="8" t="s">
        <v>539</v>
      </c>
      <c r="L280" s="8" t="s">
        <v>43</v>
      </c>
      <c r="M280" s="25" t="s">
        <v>1347</v>
      </c>
      <c r="N280" s="25" t="s">
        <v>1545</v>
      </c>
      <c r="O280" s="12" t="s">
        <v>41</v>
      </c>
    </row>
    <row r="281" spans="1:15" ht="43.5" x14ac:dyDescent="0.35">
      <c r="A281" s="29">
        <v>4320</v>
      </c>
      <c r="B281" s="7" t="s">
        <v>46</v>
      </c>
      <c r="C281" s="12" t="s">
        <v>1336</v>
      </c>
      <c r="D281" s="12" t="s">
        <v>1546</v>
      </c>
      <c r="E281" s="4" t="s">
        <v>1547</v>
      </c>
      <c r="F281" s="4" t="s">
        <v>1547</v>
      </c>
      <c r="G281" s="12" t="s">
        <v>1548</v>
      </c>
      <c r="H281" s="12" t="s">
        <v>1548</v>
      </c>
      <c r="I281" s="4" t="s">
        <v>40</v>
      </c>
      <c r="J281" s="6" t="s">
        <v>41</v>
      </c>
      <c r="K281" s="8" t="s">
        <v>1549</v>
      </c>
      <c r="L281" s="8" t="s">
        <v>43</v>
      </c>
      <c r="M281" s="25" t="s">
        <v>1347</v>
      </c>
      <c r="N281" s="25" t="s">
        <v>1550</v>
      </c>
      <c r="O281" s="12" t="s">
        <v>41</v>
      </c>
    </row>
    <row r="282" spans="1:15" ht="29" x14ac:dyDescent="0.35">
      <c r="A282" s="29">
        <v>74</v>
      </c>
      <c r="B282" s="7" t="s">
        <v>46</v>
      </c>
      <c r="C282" s="12" t="s">
        <v>1336</v>
      </c>
      <c r="D282" s="12" t="s">
        <v>1551</v>
      </c>
      <c r="E282" s="4" t="s">
        <v>1552</v>
      </c>
      <c r="F282" s="4" t="s">
        <v>1553</v>
      </c>
      <c r="G282" s="12" t="s">
        <v>1554</v>
      </c>
      <c r="H282" s="12" t="s">
        <v>1554</v>
      </c>
      <c r="I282" s="4" t="s">
        <v>40</v>
      </c>
      <c r="J282" s="6" t="s">
        <v>41</v>
      </c>
      <c r="K282" s="8" t="s">
        <v>1555</v>
      </c>
      <c r="L282" s="8" t="s">
        <v>43</v>
      </c>
      <c r="M282" s="25" t="s">
        <v>1407</v>
      </c>
      <c r="N282" s="25" t="s">
        <v>1556</v>
      </c>
      <c r="O282" s="12" t="s">
        <v>41</v>
      </c>
    </row>
    <row r="283" spans="1:15" ht="43.5" x14ac:dyDescent="0.35">
      <c r="A283" s="29">
        <v>408</v>
      </c>
      <c r="B283" s="7" t="s">
        <v>46</v>
      </c>
      <c r="C283" s="12" t="s">
        <v>1336</v>
      </c>
      <c r="D283" s="12" t="s">
        <v>1557</v>
      </c>
      <c r="E283" s="4" t="s">
        <v>1524</v>
      </c>
      <c r="F283" s="4" t="s">
        <v>1524</v>
      </c>
      <c r="G283" s="12" t="s">
        <v>1558</v>
      </c>
      <c r="H283" s="12" t="s">
        <v>1558</v>
      </c>
      <c r="I283" s="4" t="s">
        <v>40</v>
      </c>
      <c r="J283" s="6" t="s">
        <v>41</v>
      </c>
      <c r="K283" s="8" t="s">
        <v>1067</v>
      </c>
      <c r="L283" s="8" t="s">
        <v>43</v>
      </c>
      <c r="M283" s="25" t="s">
        <v>1347</v>
      </c>
      <c r="N283" s="25" t="s">
        <v>1559</v>
      </c>
      <c r="O283" s="12" t="s">
        <v>41</v>
      </c>
    </row>
    <row r="284" spans="1:15" ht="43.5" x14ac:dyDescent="0.35">
      <c r="A284" s="29">
        <v>73</v>
      </c>
      <c r="B284" s="7" t="s">
        <v>46</v>
      </c>
      <c r="C284" s="12" t="s">
        <v>1336</v>
      </c>
      <c r="D284" s="12" t="s">
        <v>1560</v>
      </c>
      <c r="E284" s="4" t="s">
        <v>1561</v>
      </c>
      <c r="F284" s="4" t="s">
        <v>1561</v>
      </c>
      <c r="G284" s="12" t="s">
        <v>1562</v>
      </c>
      <c r="H284" s="12" t="s">
        <v>1562</v>
      </c>
      <c r="I284" s="4" t="s">
        <v>40</v>
      </c>
      <c r="J284" s="6" t="s">
        <v>41</v>
      </c>
      <c r="K284" s="8" t="s">
        <v>1563</v>
      </c>
      <c r="L284" s="30" t="s">
        <v>67</v>
      </c>
      <c r="M284" s="25" t="s">
        <v>1407</v>
      </c>
      <c r="N284" s="25" t="s">
        <v>1564</v>
      </c>
      <c r="O284" s="12" t="s">
        <v>41</v>
      </c>
    </row>
    <row r="285" spans="1:15" ht="43.5" x14ac:dyDescent="0.35">
      <c r="A285" s="29">
        <v>4429</v>
      </c>
      <c r="B285" s="7" t="s">
        <v>46</v>
      </c>
      <c r="C285" s="12" t="s">
        <v>1336</v>
      </c>
      <c r="D285" s="12" t="s">
        <v>1565</v>
      </c>
      <c r="E285" s="4" t="s">
        <v>1566</v>
      </c>
      <c r="F285" s="4" t="s">
        <v>1566</v>
      </c>
      <c r="G285" s="12" t="s">
        <v>1567</v>
      </c>
      <c r="H285" s="12" t="s">
        <v>1567</v>
      </c>
      <c r="I285" s="4" t="s">
        <v>40</v>
      </c>
      <c r="J285" s="6" t="s">
        <v>41</v>
      </c>
      <c r="K285" s="8" t="s">
        <v>1427</v>
      </c>
      <c r="L285" s="8" t="s">
        <v>43</v>
      </c>
      <c r="M285" s="25" t="s">
        <v>1347</v>
      </c>
      <c r="N285" s="25" t="s">
        <v>1568</v>
      </c>
      <c r="O285" s="12" t="s">
        <v>41</v>
      </c>
    </row>
    <row r="286" spans="1:15" ht="43.5" x14ac:dyDescent="0.35">
      <c r="A286" s="29">
        <v>178</v>
      </c>
      <c r="B286" s="7" t="s">
        <v>46</v>
      </c>
      <c r="C286" s="12" t="s">
        <v>1336</v>
      </c>
      <c r="D286" s="12" t="s">
        <v>1569</v>
      </c>
      <c r="E286" s="4" t="s">
        <v>1570</v>
      </c>
      <c r="F286" s="4" t="s">
        <v>1570</v>
      </c>
      <c r="G286" s="12" t="s">
        <v>1571</v>
      </c>
      <c r="H286" s="12" t="s">
        <v>1571</v>
      </c>
      <c r="I286" s="4" t="s">
        <v>40</v>
      </c>
      <c r="J286" s="6" t="s">
        <v>41</v>
      </c>
      <c r="K286" s="5" t="s">
        <v>1572</v>
      </c>
      <c r="L286" s="8" t="s">
        <v>67</v>
      </c>
      <c r="M286" s="25" t="s">
        <v>44</v>
      </c>
      <c r="N286" s="25" t="s">
        <v>1573</v>
      </c>
      <c r="O286" s="12" t="s">
        <v>41</v>
      </c>
    </row>
    <row r="287" spans="1:15" ht="29" x14ac:dyDescent="0.35">
      <c r="A287" s="29">
        <v>141</v>
      </c>
      <c r="B287" s="7" t="s">
        <v>46</v>
      </c>
      <c r="C287" s="12" t="s">
        <v>1336</v>
      </c>
      <c r="D287" s="12" t="s">
        <v>1574</v>
      </c>
      <c r="E287" s="4" t="s">
        <v>1575</v>
      </c>
      <c r="F287" s="4" t="s">
        <v>1575</v>
      </c>
      <c r="G287" s="12" t="s">
        <v>1576</v>
      </c>
      <c r="H287" s="12" t="s">
        <v>1576</v>
      </c>
      <c r="I287" s="4" t="s">
        <v>40</v>
      </c>
      <c r="J287" s="6" t="s">
        <v>41</v>
      </c>
      <c r="K287" s="8" t="s">
        <v>1577</v>
      </c>
      <c r="L287" s="8" t="s">
        <v>43</v>
      </c>
      <c r="M287" s="25" t="s">
        <v>44</v>
      </c>
      <c r="N287" s="25" t="s">
        <v>1578</v>
      </c>
      <c r="O287" s="12" t="s">
        <v>41</v>
      </c>
    </row>
    <row r="288" spans="1:15" ht="29" x14ac:dyDescent="0.35">
      <c r="A288" s="29">
        <v>140</v>
      </c>
      <c r="B288" s="7" t="s">
        <v>46</v>
      </c>
      <c r="C288" s="12" t="s">
        <v>1336</v>
      </c>
      <c r="D288" s="12" t="s">
        <v>1579</v>
      </c>
      <c r="E288" s="4" t="s">
        <v>1580</v>
      </c>
      <c r="F288" s="4" t="s">
        <v>1580</v>
      </c>
      <c r="G288" s="12" t="s">
        <v>1581</v>
      </c>
      <c r="H288" s="12" t="s">
        <v>1581</v>
      </c>
      <c r="I288" s="4" t="s">
        <v>40</v>
      </c>
      <c r="J288" s="6" t="s">
        <v>41</v>
      </c>
      <c r="K288" s="8" t="s">
        <v>1582</v>
      </c>
      <c r="L288" s="8" t="s">
        <v>43</v>
      </c>
      <c r="M288" s="25" t="s">
        <v>1583</v>
      </c>
      <c r="N288" s="25" t="s">
        <v>1584</v>
      </c>
      <c r="O288" s="12" t="s">
        <v>41</v>
      </c>
    </row>
    <row r="289" spans="1:15" ht="43.5" x14ac:dyDescent="0.35">
      <c r="A289" s="29">
        <v>202</v>
      </c>
      <c r="B289" s="7" t="s">
        <v>46</v>
      </c>
      <c r="C289" s="12" t="s">
        <v>1336</v>
      </c>
      <c r="D289" s="12" t="s">
        <v>1585</v>
      </c>
      <c r="E289" s="4" t="s">
        <v>1586</v>
      </c>
      <c r="F289" s="4" t="s">
        <v>1586</v>
      </c>
      <c r="G289" s="12" t="s">
        <v>1587</v>
      </c>
      <c r="H289" s="12" t="s">
        <v>1588</v>
      </c>
      <c r="I289" s="4" t="s">
        <v>40</v>
      </c>
      <c r="J289" s="6" t="s">
        <v>41</v>
      </c>
      <c r="K289" s="8" t="s">
        <v>376</v>
      </c>
      <c r="L289" s="8" t="s">
        <v>67</v>
      </c>
      <c r="M289" s="25" t="s">
        <v>1589</v>
      </c>
      <c r="N289" s="25" t="s">
        <v>933</v>
      </c>
      <c r="O289" s="12" t="s">
        <v>1590</v>
      </c>
    </row>
    <row r="290" spans="1:15" ht="43.5" x14ac:dyDescent="0.35">
      <c r="A290" s="29">
        <v>414</v>
      </c>
      <c r="B290" s="7" t="s">
        <v>46</v>
      </c>
      <c r="C290" s="12" t="s">
        <v>1336</v>
      </c>
      <c r="D290" s="12" t="s">
        <v>1591</v>
      </c>
      <c r="E290" s="4" t="s">
        <v>1592</v>
      </c>
      <c r="F290" s="21" t="s">
        <v>1592</v>
      </c>
      <c r="G290" s="12" t="s">
        <v>1593</v>
      </c>
      <c r="H290" s="12" t="s">
        <v>1594</v>
      </c>
      <c r="I290" s="4" t="s">
        <v>40</v>
      </c>
      <c r="J290" s="6" t="s">
        <v>41</v>
      </c>
      <c r="K290" s="8" t="s">
        <v>1595</v>
      </c>
      <c r="L290" s="8" t="s">
        <v>43</v>
      </c>
      <c r="M290" s="25" t="s">
        <v>1347</v>
      </c>
      <c r="N290" s="25" t="s">
        <v>1596</v>
      </c>
      <c r="O290" s="12" t="s">
        <v>41</v>
      </c>
    </row>
    <row r="291" spans="1:15" ht="43.5" x14ac:dyDescent="0.35">
      <c r="A291" s="29">
        <v>53</v>
      </c>
      <c r="B291" s="7" t="s">
        <v>46</v>
      </c>
      <c r="C291" s="12" t="s">
        <v>1336</v>
      </c>
      <c r="D291" s="12" t="s">
        <v>1597</v>
      </c>
      <c r="E291" s="4" t="s">
        <v>1598</v>
      </c>
      <c r="F291" s="4" t="s">
        <v>1598</v>
      </c>
      <c r="G291" s="12" t="s">
        <v>1599</v>
      </c>
      <c r="H291" s="12" t="s">
        <v>1599</v>
      </c>
      <c r="I291" s="4" t="s">
        <v>40</v>
      </c>
      <c r="J291" s="6" t="s">
        <v>41</v>
      </c>
      <c r="K291" s="5" t="s">
        <v>1600</v>
      </c>
      <c r="L291" s="8" t="s">
        <v>67</v>
      </c>
      <c r="M291" s="25" t="s">
        <v>1601</v>
      </c>
      <c r="N291" s="25" t="s">
        <v>1602</v>
      </c>
      <c r="O291" s="12" t="s">
        <v>41</v>
      </c>
    </row>
    <row r="292" spans="1:15" ht="43.5" x14ac:dyDescent="0.35">
      <c r="A292" s="29">
        <v>203</v>
      </c>
      <c r="B292" s="7" t="s">
        <v>46</v>
      </c>
      <c r="C292" s="12" t="s">
        <v>1336</v>
      </c>
      <c r="D292" s="12" t="s">
        <v>1603</v>
      </c>
      <c r="E292" s="4" t="s">
        <v>1604</v>
      </c>
      <c r="F292" s="4" t="s">
        <v>1604</v>
      </c>
      <c r="G292" s="12" t="s">
        <v>1605</v>
      </c>
      <c r="H292" s="12" t="s">
        <v>1606</v>
      </c>
      <c r="I292" s="4" t="s">
        <v>40</v>
      </c>
      <c r="J292" s="6" t="s">
        <v>41</v>
      </c>
      <c r="K292" s="8" t="s">
        <v>376</v>
      </c>
      <c r="L292" s="8" t="s">
        <v>67</v>
      </c>
      <c r="M292" s="25" t="s">
        <v>1607</v>
      </c>
      <c r="N292" s="25" t="s">
        <v>933</v>
      </c>
      <c r="O292" s="12" t="s">
        <v>1590</v>
      </c>
    </row>
    <row r="293" spans="1:15" ht="43.5" x14ac:dyDescent="0.35">
      <c r="A293" s="29">
        <v>4317</v>
      </c>
      <c r="B293" s="7" t="s">
        <v>46</v>
      </c>
      <c r="C293" s="12" t="s">
        <v>1336</v>
      </c>
      <c r="D293" s="12" t="s">
        <v>1608</v>
      </c>
      <c r="E293" s="4" t="s">
        <v>1609</v>
      </c>
      <c r="F293" s="4" t="s">
        <v>1609</v>
      </c>
      <c r="G293" s="12" t="s">
        <v>1610</v>
      </c>
      <c r="H293" s="12" t="s">
        <v>1611</v>
      </c>
      <c r="I293" s="4" t="s">
        <v>40</v>
      </c>
      <c r="J293" s="6" t="s">
        <v>41</v>
      </c>
      <c r="K293" s="8" t="s">
        <v>1367</v>
      </c>
      <c r="L293" s="8" t="s">
        <v>43</v>
      </c>
      <c r="M293" s="25" t="s">
        <v>1347</v>
      </c>
      <c r="N293" s="25" t="s">
        <v>1612</v>
      </c>
      <c r="O293" s="12" t="s">
        <v>41</v>
      </c>
    </row>
    <row r="294" spans="1:15" ht="145" x14ac:dyDescent="0.35">
      <c r="A294" s="29">
        <v>152</v>
      </c>
      <c r="B294" s="7" t="s">
        <v>46</v>
      </c>
      <c r="C294" s="12" t="s">
        <v>1336</v>
      </c>
      <c r="D294" s="12" t="s">
        <v>1613</v>
      </c>
      <c r="E294" s="4" t="s">
        <v>1614</v>
      </c>
      <c r="F294" s="4" t="s">
        <v>1614</v>
      </c>
      <c r="G294" s="12" t="s">
        <v>1615</v>
      </c>
      <c r="H294" s="12" t="s">
        <v>1615</v>
      </c>
      <c r="I294" s="4" t="s">
        <v>40</v>
      </c>
      <c r="J294" s="6" t="s">
        <v>41</v>
      </c>
      <c r="K294" s="8" t="s">
        <v>1616</v>
      </c>
      <c r="L294" s="8" t="s">
        <v>43</v>
      </c>
      <c r="M294" s="25" t="s">
        <v>1617</v>
      </c>
      <c r="N294" s="25" t="s">
        <v>1618</v>
      </c>
      <c r="O294" s="12" t="s">
        <v>41</v>
      </c>
    </row>
    <row r="295" spans="1:15" ht="43.5" x14ac:dyDescent="0.35">
      <c r="A295" s="29">
        <v>238</v>
      </c>
      <c r="B295" s="7" t="s">
        <v>46</v>
      </c>
      <c r="C295" s="12" t="s">
        <v>1336</v>
      </c>
      <c r="D295" s="12" t="s">
        <v>1619</v>
      </c>
      <c r="E295" s="4" t="s">
        <v>1620</v>
      </c>
      <c r="F295" s="4" t="s">
        <v>1621</v>
      </c>
      <c r="G295" s="12" t="s">
        <v>1622</v>
      </c>
      <c r="H295" s="12" t="s">
        <v>1622</v>
      </c>
      <c r="I295" s="4" t="s">
        <v>40</v>
      </c>
      <c r="J295" s="6" t="s">
        <v>41</v>
      </c>
      <c r="K295" s="8" t="s">
        <v>1623</v>
      </c>
      <c r="L295" s="8" t="s">
        <v>43</v>
      </c>
      <c r="M295" s="25" t="s">
        <v>1624</v>
      </c>
      <c r="N295" s="25" t="s">
        <v>1625</v>
      </c>
      <c r="O295" s="12" t="s">
        <v>1626</v>
      </c>
    </row>
    <row r="296" spans="1:15" ht="145" x14ac:dyDescent="0.35">
      <c r="A296" s="29">
        <v>150</v>
      </c>
      <c r="B296" s="7" t="s">
        <v>46</v>
      </c>
      <c r="C296" s="12" t="s">
        <v>1336</v>
      </c>
      <c r="D296" s="12" t="s">
        <v>1627</v>
      </c>
      <c r="E296" s="4" t="s">
        <v>1628</v>
      </c>
      <c r="F296" s="4" t="s">
        <v>1628</v>
      </c>
      <c r="G296" s="12" t="s">
        <v>1629</v>
      </c>
      <c r="H296" s="12" t="s">
        <v>1629</v>
      </c>
      <c r="I296" s="4" t="s">
        <v>40</v>
      </c>
      <c r="J296" s="6" t="s">
        <v>41</v>
      </c>
      <c r="K296" s="8" t="s">
        <v>1630</v>
      </c>
      <c r="L296" s="8" t="s">
        <v>43</v>
      </c>
      <c r="M296" s="25" t="s">
        <v>1617</v>
      </c>
      <c r="N296" s="25" t="s">
        <v>1618</v>
      </c>
      <c r="O296" s="12" t="s">
        <v>41</v>
      </c>
    </row>
    <row r="297" spans="1:15" ht="43.5" x14ac:dyDescent="0.35">
      <c r="A297" s="29">
        <v>441</v>
      </c>
      <c r="B297" s="7" t="s">
        <v>46</v>
      </c>
      <c r="C297" s="12" t="s">
        <v>1336</v>
      </c>
      <c r="D297" s="12" t="s">
        <v>1631</v>
      </c>
      <c r="E297" s="4" t="s">
        <v>1632</v>
      </c>
      <c r="F297" s="4" t="s">
        <v>1632</v>
      </c>
      <c r="G297" s="12" t="s">
        <v>1633</v>
      </c>
      <c r="H297" s="12" t="s">
        <v>1633</v>
      </c>
      <c r="I297" s="4" t="s">
        <v>40</v>
      </c>
      <c r="J297" s="6" t="s">
        <v>41</v>
      </c>
      <c r="K297" s="8" t="s">
        <v>1634</v>
      </c>
      <c r="L297" s="8" t="s">
        <v>43</v>
      </c>
      <c r="M297" s="25" t="s">
        <v>1347</v>
      </c>
      <c r="N297" s="25" t="s">
        <v>1635</v>
      </c>
      <c r="O297" s="12" t="s">
        <v>41</v>
      </c>
    </row>
    <row r="298" spans="1:15" ht="43.5" x14ac:dyDescent="0.35">
      <c r="A298" s="29">
        <v>437</v>
      </c>
      <c r="B298" s="7" t="s">
        <v>46</v>
      </c>
      <c r="C298" s="12" t="s">
        <v>1336</v>
      </c>
      <c r="D298" s="12" t="s">
        <v>1636</v>
      </c>
      <c r="E298" s="4" t="s">
        <v>1637</v>
      </c>
      <c r="F298" s="4" t="s">
        <v>1637</v>
      </c>
      <c r="G298" s="12" t="s">
        <v>1638</v>
      </c>
      <c r="H298" s="12" t="s">
        <v>1638</v>
      </c>
      <c r="I298" s="4" t="s">
        <v>40</v>
      </c>
      <c r="J298" s="6" t="s">
        <v>41</v>
      </c>
      <c r="K298" s="8" t="s">
        <v>1367</v>
      </c>
      <c r="L298" s="8" t="s">
        <v>43</v>
      </c>
      <c r="M298" s="25" t="s">
        <v>1347</v>
      </c>
      <c r="N298" s="25" t="s">
        <v>1639</v>
      </c>
      <c r="O298" s="12" t="s">
        <v>41</v>
      </c>
    </row>
    <row r="299" spans="1:15" ht="43.5" x14ac:dyDescent="0.35">
      <c r="A299" s="29">
        <v>439</v>
      </c>
      <c r="B299" s="7" t="s">
        <v>46</v>
      </c>
      <c r="C299" s="12" t="s">
        <v>1336</v>
      </c>
      <c r="D299" s="12" t="s">
        <v>1640</v>
      </c>
      <c r="E299" s="4" t="s">
        <v>1641</v>
      </c>
      <c r="F299" s="4" t="s">
        <v>1641</v>
      </c>
      <c r="G299" s="12" t="s">
        <v>1642</v>
      </c>
      <c r="H299" s="12" t="s">
        <v>1642</v>
      </c>
      <c r="I299" s="4" t="s">
        <v>40</v>
      </c>
      <c r="J299" s="6" t="s">
        <v>41</v>
      </c>
      <c r="K299" s="8" t="s">
        <v>1367</v>
      </c>
      <c r="L299" s="8" t="s">
        <v>43</v>
      </c>
      <c r="M299" s="25" t="s">
        <v>1347</v>
      </c>
      <c r="N299" s="25" t="s">
        <v>1643</v>
      </c>
      <c r="O299" s="12" t="s">
        <v>41</v>
      </c>
    </row>
    <row r="300" spans="1:15" ht="29" x14ac:dyDescent="0.35">
      <c r="A300" s="29">
        <v>569</v>
      </c>
      <c r="B300" s="7" t="s">
        <v>46</v>
      </c>
      <c r="C300" s="12" t="s">
        <v>34</v>
      </c>
      <c r="D300" s="12" t="s">
        <v>1644</v>
      </c>
      <c r="E300" s="4" t="s">
        <v>1645</v>
      </c>
      <c r="F300" s="4" t="s">
        <v>1645</v>
      </c>
      <c r="G300" s="12" t="s">
        <v>1646</v>
      </c>
      <c r="H300" s="12" t="s">
        <v>1646</v>
      </c>
      <c r="I300" s="4" t="s">
        <v>40</v>
      </c>
      <c r="J300" s="6" t="s">
        <v>41</v>
      </c>
      <c r="K300" s="8" t="s">
        <v>102</v>
      </c>
      <c r="L300" s="8" t="s">
        <v>103</v>
      </c>
      <c r="M300" s="25" t="s">
        <v>1647</v>
      </c>
      <c r="N300" s="25" t="s">
        <v>1648</v>
      </c>
      <c r="O300" s="12" t="s">
        <v>41</v>
      </c>
    </row>
    <row r="301" spans="1:15" ht="43.5" x14ac:dyDescent="0.35">
      <c r="A301" s="29">
        <v>22</v>
      </c>
      <c r="B301" s="7" t="s">
        <v>46</v>
      </c>
      <c r="C301" s="12" t="s">
        <v>34</v>
      </c>
      <c r="D301" s="12" t="s">
        <v>1649</v>
      </c>
      <c r="E301" s="4" t="s">
        <v>1650</v>
      </c>
      <c r="F301" s="4" t="s">
        <v>1651</v>
      </c>
      <c r="G301" s="12" t="s">
        <v>1652</v>
      </c>
      <c r="H301" s="12" t="s">
        <v>1653</v>
      </c>
      <c r="I301" s="4" t="s">
        <v>40</v>
      </c>
      <c r="J301" s="6" t="s">
        <v>41</v>
      </c>
      <c r="K301" s="8" t="s">
        <v>1654</v>
      </c>
      <c r="L301" s="8" t="s">
        <v>43</v>
      </c>
      <c r="M301" s="25" t="s">
        <v>1647</v>
      </c>
      <c r="N301" s="25" t="s">
        <v>1655</v>
      </c>
      <c r="O301" s="12" t="s">
        <v>41</v>
      </c>
    </row>
    <row r="302" spans="1:15" ht="43.5" x14ac:dyDescent="0.35">
      <c r="A302" s="29">
        <v>176</v>
      </c>
      <c r="B302" s="7" t="s">
        <v>46</v>
      </c>
      <c r="C302" s="12" t="s">
        <v>34</v>
      </c>
      <c r="D302" s="12" t="s">
        <v>1656</v>
      </c>
      <c r="E302" s="4" t="s">
        <v>1657</v>
      </c>
      <c r="F302" s="4" t="s">
        <v>1658</v>
      </c>
      <c r="G302" s="12" t="s">
        <v>1659</v>
      </c>
      <c r="H302" s="12" t="s">
        <v>1653</v>
      </c>
      <c r="I302" s="4" t="s">
        <v>40</v>
      </c>
      <c r="J302" s="6" t="s">
        <v>41</v>
      </c>
      <c r="K302" s="8" t="s">
        <v>1660</v>
      </c>
      <c r="L302" s="8" t="s">
        <v>67</v>
      </c>
      <c r="M302" s="25" t="s">
        <v>1647</v>
      </c>
      <c r="N302" s="25" t="s">
        <v>1661</v>
      </c>
      <c r="O302" s="12" t="s">
        <v>41</v>
      </c>
    </row>
    <row r="303" spans="1:15" ht="43.5" x14ac:dyDescent="0.35">
      <c r="A303" s="29">
        <v>406</v>
      </c>
      <c r="B303" s="7" t="s">
        <v>46</v>
      </c>
      <c r="C303" s="12" t="s">
        <v>34</v>
      </c>
      <c r="D303" s="12" t="s">
        <v>1662</v>
      </c>
      <c r="E303" s="4" t="s">
        <v>1663</v>
      </c>
      <c r="F303" s="4" t="s">
        <v>1663</v>
      </c>
      <c r="G303" s="12" t="s">
        <v>1664</v>
      </c>
      <c r="H303" s="12" t="s">
        <v>1665</v>
      </c>
      <c r="I303" s="4" t="s">
        <v>40</v>
      </c>
      <c r="J303" s="6" t="s">
        <v>41</v>
      </c>
      <c r="K303" s="8" t="s">
        <v>1666</v>
      </c>
      <c r="L303" s="30" t="s">
        <v>67</v>
      </c>
      <c r="M303" s="25" t="s">
        <v>236</v>
      </c>
      <c r="N303" s="25" t="s">
        <v>1667</v>
      </c>
      <c r="O303" s="12" t="s">
        <v>41</v>
      </c>
    </row>
    <row r="304" spans="1:15" ht="29" x14ac:dyDescent="0.35">
      <c r="A304" s="29">
        <v>410</v>
      </c>
      <c r="B304" s="7" t="s">
        <v>46</v>
      </c>
      <c r="C304" s="12" t="s">
        <v>34</v>
      </c>
      <c r="D304" s="12" t="s">
        <v>1668</v>
      </c>
      <c r="E304" s="4" t="s">
        <v>1669</v>
      </c>
      <c r="F304" s="4" t="s">
        <v>1669</v>
      </c>
      <c r="G304" s="12" t="s">
        <v>1670</v>
      </c>
      <c r="H304" s="12" t="s">
        <v>1671</v>
      </c>
      <c r="I304" s="4" t="s">
        <v>40</v>
      </c>
      <c r="J304" s="6" t="s">
        <v>41</v>
      </c>
      <c r="K304" s="8" t="s">
        <v>1672</v>
      </c>
      <c r="L304" s="8" t="s">
        <v>59</v>
      </c>
      <c r="M304" s="25" t="s">
        <v>236</v>
      </c>
      <c r="N304" s="25" t="s">
        <v>1673</v>
      </c>
      <c r="O304" s="12" t="s">
        <v>41</v>
      </c>
    </row>
    <row r="305" spans="1:15" ht="43.5" x14ac:dyDescent="0.35">
      <c r="A305" s="29">
        <v>847</v>
      </c>
      <c r="B305" s="7" t="s">
        <v>46</v>
      </c>
      <c r="C305" s="12" t="s">
        <v>34</v>
      </c>
      <c r="D305" s="12" t="s">
        <v>1674</v>
      </c>
      <c r="E305" s="4" t="s">
        <v>1675</v>
      </c>
      <c r="F305" s="4" t="s">
        <v>1675</v>
      </c>
      <c r="G305" s="12" t="s">
        <v>1676</v>
      </c>
      <c r="H305" s="12" t="s">
        <v>1677</v>
      </c>
      <c r="I305" s="4" t="s">
        <v>40</v>
      </c>
      <c r="J305" s="6" t="s">
        <v>41</v>
      </c>
      <c r="K305" s="8" t="s">
        <v>1678</v>
      </c>
      <c r="L305" s="8" t="s">
        <v>59</v>
      </c>
      <c r="M305" s="25" t="s">
        <v>1679</v>
      </c>
      <c r="N305" s="25" t="s">
        <v>1680</v>
      </c>
      <c r="O305" s="12" t="s">
        <v>41</v>
      </c>
    </row>
    <row r="306" spans="1:15" ht="43.5" x14ac:dyDescent="0.35">
      <c r="A306" s="29">
        <v>845</v>
      </c>
      <c r="B306" s="7" t="s">
        <v>46</v>
      </c>
      <c r="C306" s="12" t="s">
        <v>34</v>
      </c>
      <c r="D306" s="12" t="s">
        <v>1681</v>
      </c>
      <c r="E306" s="4" t="s">
        <v>1682</v>
      </c>
      <c r="F306" s="4" t="s">
        <v>1682</v>
      </c>
      <c r="G306" s="12" t="s">
        <v>1683</v>
      </c>
      <c r="H306" s="12" t="s">
        <v>1684</v>
      </c>
      <c r="I306" s="4" t="s">
        <v>40</v>
      </c>
      <c r="J306" s="6" t="s">
        <v>41</v>
      </c>
      <c r="K306" s="8" t="s">
        <v>1685</v>
      </c>
      <c r="L306" s="8" t="s">
        <v>574</v>
      </c>
      <c r="M306" s="25" t="s">
        <v>1679</v>
      </c>
      <c r="N306" s="25" t="s">
        <v>1686</v>
      </c>
      <c r="O306" s="12" t="s">
        <v>41</v>
      </c>
    </row>
    <row r="307" spans="1:15" ht="29" x14ac:dyDescent="0.35">
      <c r="A307" s="29">
        <v>846</v>
      </c>
      <c r="B307" s="7" t="s">
        <v>46</v>
      </c>
      <c r="C307" s="12" t="s">
        <v>34</v>
      </c>
      <c r="D307" s="12" t="s">
        <v>1687</v>
      </c>
      <c r="E307" s="4" t="s">
        <v>1688</v>
      </c>
      <c r="F307" s="4" t="s">
        <v>1688</v>
      </c>
      <c r="G307" s="12" t="s">
        <v>1689</v>
      </c>
      <c r="H307" s="12" t="s">
        <v>1690</v>
      </c>
      <c r="I307" s="4" t="s">
        <v>40</v>
      </c>
      <c r="J307" s="6" t="s">
        <v>41</v>
      </c>
      <c r="K307" s="8" t="s">
        <v>1672</v>
      </c>
      <c r="L307" s="8" t="s">
        <v>59</v>
      </c>
      <c r="M307" s="25" t="s">
        <v>1679</v>
      </c>
      <c r="N307" s="25" t="s">
        <v>1691</v>
      </c>
      <c r="O307" s="12" t="s">
        <v>41</v>
      </c>
    </row>
    <row r="308" spans="1:15" ht="43.5" x14ac:dyDescent="0.35">
      <c r="A308" s="29">
        <v>844</v>
      </c>
      <c r="B308" s="7" t="s">
        <v>46</v>
      </c>
      <c r="C308" s="12" t="s">
        <v>34</v>
      </c>
      <c r="D308" s="12" t="s">
        <v>1692</v>
      </c>
      <c r="E308" s="4" t="s">
        <v>1693</v>
      </c>
      <c r="F308" s="4" t="s">
        <v>1693</v>
      </c>
      <c r="G308" s="12" t="s">
        <v>1677</v>
      </c>
      <c r="H308" s="12" t="s">
        <v>1677</v>
      </c>
      <c r="I308" s="4" t="s">
        <v>40</v>
      </c>
      <c r="J308" s="6" t="s">
        <v>41</v>
      </c>
      <c r="K308" s="8" t="s">
        <v>1678</v>
      </c>
      <c r="L308" s="8" t="s">
        <v>59</v>
      </c>
      <c r="M308" s="25" t="s">
        <v>1679</v>
      </c>
      <c r="N308" s="25" t="s">
        <v>1694</v>
      </c>
      <c r="O308" s="12" t="s">
        <v>41</v>
      </c>
    </row>
    <row r="309" spans="1:15" ht="43.5" x14ac:dyDescent="0.35">
      <c r="A309" s="29">
        <v>842</v>
      </c>
      <c r="B309" s="7" t="s">
        <v>46</v>
      </c>
      <c r="C309" s="12" t="s">
        <v>34</v>
      </c>
      <c r="D309" s="12" t="s">
        <v>1695</v>
      </c>
      <c r="E309" s="4" t="s">
        <v>1696</v>
      </c>
      <c r="F309" s="4" t="s">
        <v>1696</v>
      </c>
      <c r="G309" s="12" t="s">
        <v>1697</v>
      </c>
      <c r="H309" s="12" t="s">
        <v>1697</v>
      </c>
      <c r="I309" s="4" t="s">
        <v>40</v>
      </c>
      <c r="J309" s="6" t="s">
        <v>41</v>
      </c>
      <c r="K309" s="8" t="s">
        <v>1698</v>
      </c>
      <c r="L309" s="8" t="s">
        <v>1699</v>
      </c>
      <c r="M309" s="25" t="s">
        <v>1679</v>
      </c>
      <c r="N309" s="25" t="s">
        <v>1700</v>
      </c>
      <c r="O309" s="12" t="s">
        <v>41</v>
      </c>
    </row>
    <row r="310" spans="1:15" ht="29" x14ac:dyDescent="0.35">
      <c r="A310" s="29">
        <v>843</v>
      </c>
      <c r="B310" s="7" t="s">
        <v>46</v>
      </c>
      <c r="C310" s="12" t="s">
        <v>34</v>
      </c>
      <c r="D310" s="12" t="s">
        <v>1701</v>
      </c>
      <c r="E310" s="4" t="s">
        <v>1702</v>
      </c>
      <c r="F310" s="4" t="s">
        <v>1702</v>
      </c>
      <c r="G310" s="12" t="s">
        <v>1703</v>
      </c>
      <c r="H310" s="12" t="s">
        <v>1703</v>
      </c>
      <c r="I310" s="4" t="s">
        <v>40</v>
      </c>
      <c r="J310" s="6" t="s">
        <v>41</v>
      </c>
      <c r="K310" s="8" t="s">
        <v>1672</v>
      </c>
      <c r="L310" s="8" t="s">
        <v>59</v>
      </c>
      <c r="M310" s="25" t="s">
        <v>1679</v>
      </c>
      <c r="N310" s="25" t="s">
        <v>1704</v>
      </c>
      <c r="O310" s="12" t="s">
        <v>41</v>
      </c>
    </row>
    <row r="311" spans="1:15" ht="43.5" x14ac:dyDescent="0.35">
      <c r="A311" s="29">
        <v>23</v>
      </c>
      <c r="B311" s="7" t="s">
        <v>46</v>
      </c>
      <c r="C311" s="12" t="s">
        <v>34</v>
      </c>
      <c r="D311" s="12" t="s">
        <v>1705</v>
      </c>
      <c r="E311" s="4" t="s">
        <v>1706</v>
      </c>
      <c r="F311" s="4" t="s">
        <v>1707</v>
      </c>
      <c r="G311" s="12" t="s">
        <v>1708</v>
      </c>
      <c r="H311" s="12" t="s">
        <v>1653</v>
      </c>
      <c r="I311" s="4" t="s">
        <v>40</v>
      </c>
      <c r="J311" s="6" t="s">
        <v>41</v>
      </c>
      <c r="K311" s="8" t="s">
        <v>1654</v>
      </c>
      <c r="L311" s="8" t="s">
        <v>43</v>
      </c>
      <c r="M311" s="25" t="s">
        <v>1647</v>
      </c>
      <c r="N311" s="25" t="s">
        <v>1709</v>
      </c>
      <c r="O311" s="12" t="s">
        <v>41</v>
      </c>
    </row>
    <row r="312" spans="1:15" ht="43.5" x14ac:dyDescent="0.35">
      <c r="A312" s="29">
        <v>177</v>
      </c>
      <c r="B312" s="7" t="s">
        <v>46</v>
      </c>
      <c r="C312" s="12" t="s">
        <v>34</v>
      </c>
      <c r="D312" s="12" t="s">
        <v>1710</v>
      </c>
      <c r="E312" s="4" t="s">
        <v>1711</v>
      </c>
      <c r="F312" s="4" t="s">
        <v>1712</v>
      </c>
      <c r="G312" s="12" t="s">
        <v>1713</v>
      </c>
      <c r="H312" s="12" t="s">
        <v>1653</v>
      </c>
      <c r="I312" s="4" t="s">
        <v>40</v>
      </c>
      <c r="J312" s="6" t="s">
        <v>41</v>
      </c>
      <c r="K312" s="8" t="s">
        <v>1660</v>
      </c>
      <c r="L312" s="8" t="s">
        <v>67</v>
      </c>
      <c r="M312" s="25" t="s">
        <v>1647</v>
      </c>
      <c r="N312" s="25" t="s">
        <v>1714</v>
      </c>
      <c r="O312" s="12" t="s">
        <v>41</v>
      </c>
    </row>
    <row r="313" spans="1:15" x14ac:dyDescent="0.35">
      <c r="A313" s="29">
        <v>98</v>
      </c>
      <c r="B313" s="7" t="s">
        <v>46</v>
      </c>
      <c r="C313" s="12" t="s">
        <v>34</v>
      </c>
      <c r="D313" s="12" t="s">
        <v>1715</v>
      </c>
      <c r="E313" s="4" t="s">
        <v>1716</v>
      </c>
      <c r="F313" s="4" t="s">
        <v>1716</v>
      </c>
      <c r="G313" s="12" t="s">
        <v>1717</v>
      </c>
      <c r="H313" s="12" t="s">
        <v>1718</v>
      </c>
      <c r="I313" s="4" t="s">
        <v>40</v>
      </c>
      <c r="J313" s="6" t="s">
        <v>41</v>
      </c>
      <c r="K313" s="8" t="s">
        <v>111</v>
      </c>
      <c r="L313" s="8" t="s">
        <v>103</v>
      </c>
      <c r="M313" s="25" t="s">
        <v>1719</v>
      </c>
      <c r="N313" s="25" t="s">
        <v>1720</v>
      </c>
      <c r="O313" s="12" t="s">
        <v>1721</v>
      </c>
    </row>
    <row r="314" spans="1:15" ht="43.5" x14ac:dyDescent="0.35">
      <c r="A314" s="29">
        <v>207</v>
      </c>
      <c r="B314" s="7" t="s">
        <v>46</v>
      </c>
      <c r="C314" s="12" t="s">
        <v>34</v>
      </c>
      <c r="D314" s="12" t="s">
        <v>1722</v>
      </c>
      <c r="E314" s="4" t="s">
        <v>1723</v>
      </c>
      <c r="F314" s="4" t="s">
        <v>1723</v>
      </c>
      <c r="G314" s="12" t="s">
        <v>1724</v>
      </c>
      <c r="H314" s="12" t="s">
        <v>1724</v>
      </c>
      <c r="I314" s="4" t="s">
        <v>40</v>
      </c>
      <c r="J314" s="6" t="s">
        <v>41</v>
      </c>
      <c r="K314" s="8" t="s">
        <v>276</v>
      </c>
      <c r="L314" s="8" t="s">
        <v>67</v>
      </c>
      <c r="M314" s="25" t="s">
        <v>1719</v>
      </c>
      <c r="N314" s="25" t="s">
        <v>1725</v>
      </c>
      <c r="O314" s="12" t="s">
        <v>1721</v>
      </c>
    </row>
    <row r="315" spans="1:15" ht="43.5" x14ac:dyDescent="0.35">
      <c r="A315" s="29">
        <v>205</v>
      </c>
      <c r="B315" s="7" t="s">
        <v>46</v>
      </c>
      <c r="C315" s="12" t="s">
        <v>34</v>
      </c>
      <c r="D315" s="12" t="s">
        <v>1726</v>
      </c>
      <c r="E315" s="4" t="s">
        <v>1727</v>
      </c>
      <c r="F315" s="4" t="s">
        <v>1727</v>
      </c>
      <c r="G315" s="12" t="s">
        <v>1728</v>
      </c>
      <c r="H315" s="12" t="s">
        <v>1729</v>
      </c>
      <c r="I315" s="4" t="s">
        <v>40</v>
      </c>
      <c r="J315" s="6" t="s">
        <v>41</v>
      </c>
      <c r="K315" s="8" t="s">
        <v>1730</v>
      </c>
      <c r="L315" s="8" t="s">
        <v>67</v>
      </c>
      <c r="M315" s="25" t="s">
        <v>1731</v>
      </c>
      <c r="N315" s="25" t="s">
        <v>1732</v>
      </c>
      <c r="O315" s="12" t="s">
        <v>1733</v>
      </c>
    </row>
    <row r="316" spans="1:15" ht="43.5" x14ac:dyDescent="0.35">
      <c r="A316" s="29">
        <v>169</v>
      </c>
      <c r="B316" s="7" t="s">
        <v>46</v>
      </c>
      <c r="C316" s="12" t="s">
        <v>34</v>
      </c>
      <c r="D316" s="12" t="s">
        <v>1734</v>
      </c>
      <c r="E316" s="4" t="s">
        <v>1735</v>
      </c>
      <c r="F316" s="4" t="s">
        <v>1735</v>
      </c>
      <c r="G316" s="12" t="s">
        <v>1736</v>
      </c>
      <c r="H316" s="12" t="s">
        <v>1737</v>
      </c>
      <c r="I316" s="4" t="s">
        <v>40</v>
      </c>
      <c r="J316" s="6" t="s">
        <v>41</v>
      </c>
      <c r="K316" s="8" t="s">
        <v>1738</v>
      </c>
      <c r="L316" s="8" t="s">
        <v>82</v>
      </c>
      <c r="M316" s="25" t="s">
        <v>1731</v>
      </c>
      <c r="N316" s="25" t="s">
        <v>1739</v>
      </c>
      <c r="O316" s="12" t="s">
        <v>1740</v>
      </c>
    </row>
    <row r="317" spans="1:15" ht="43.5" x14ac:dyDescent="0.35">
      <c r="A317" s="29">
        <v>208</v>
      </c>
      <c r="B317" s="7" t="s">
        <v>46</v>
      </c>
      <c r="C317" s="12" t="s">
        <v>34</v>
      </c>
      <c r="D317" s="12" t="s">
        <v>1741</v>
      </c>
      <c r="E317" s="4" t="s">
        <v>1742</v>
      </c>
      <c r="F317" s="4" t="s">
        <v>1742</v>
      </c>
      <c r="G317" s="12" t="s">
        <v>1743</v>
      </c>
      <c r="H317" s="12" t="s">
        <v>1744</v>
      </c>
      <c r="I317" s="4" t="s">
        <v>40</v>
      </c>
      <c r="J317" s="6" t="s">
        <v>41</v>
      </c>
      <c r="K317" s="8" t="s">
        <v>276</v>
      </c>
      <c r="L317" s="8" t="s">
        <v>67</v>
      </c>
      <c r="M317" s="25" t="s">
        <v>1731</v>
      </c>
      <c r="N317" s="25" t="s">
        <v>1745</v>
      </c>
      <c r="O317" s="12" t="s">
        <v>1733</v>
      </c>
    </row>
    <row r="318" spans="1:15" ht="43.5" x14ac:dyDescent="0.35">
      <c r="A318" s="29">
        <v>83</v>
      </c>
      <c r="B318" s="7" t="s">
        <v>46</v>
      </c>
      <c r="C318" s="12" t="s">
        <v>34</v>
      </c>
      <c r="D318" s="12" t="s">
        <v>1746</v>
      </c>
      <c r="E318" s="4" t="s">
        <v>1747</v>
      </c>
      <c r="F318" s="4" t="s">
        <v>1748</v>
      </c>
      <c r="G318" s="12" t="s">
        <v>1749</v>
      </c>
      <c r="H318" s="12" t="s">
        <v>1750</v>
      </c>
      <c r="I318" s="4" t="s">
        <v>40</v>
      </c>
      <c r="J318" s="6" t="s">
        <v>41</v>
      </c>
      <c r="K318" s="8" t="s">
        <v>1751</v>
      </c>
      <c r="L318" s="8" t="s">
        <v>59</v>
      </c>
      <c r="M318" s="25" t="s">
        <v>1731</v>
      </c>
      <c r="N318" s="25" t="s">
        <v>1752</v>
      </c>
      <c r="O318" s="12" t="s">
        <v>41</v>
      </c>
    </row>
    <row r="319" spans="1:15" ht="43.5" x14ac:dyDescent="0.35">
      <c r="A319" s="29">
        <v>58</v>
      </c>
      <c r="B319" s="7" t="s">
        <v>46</v>
      </c>
      <c r="C319" s="12" t="s">
        <v>34</v>
      </c>
      <c r="D319" s="12" t="s">
        <v>1753</v>
      </c>
      <c r="E319" s="4" t="s">
        <v>1754</v>
      </c>
      <c r="F319" s="4" t="s">
        <v>1754</v>
      </c>
      <c r="G319" s="12" t="s">
        <v>1755</v>
      </c>
      <c r="H319" s="12" t="s">
        <v>1756</v>
      </c>
      <c r="I319" s="4" t="s">
        <v>40</v>
      </c>
      <c r="J319" s="6" t="s">
        <v>41</v>
      </c>
      <c r="K319" s="8" t="s">
        <v>1730</v>
      </c>
      <c r="L319" s="8" t="s">
        <v>67</v>
      </c>
      <c r="M319" s="25" t="s">
        <v>1731</v>
      </c>
      <c r="N319" s="25" t="s">
        <v>1757</v>
      </c>
      <c r="O319" s="12" t="s">
        <v>1758</v>
      </c>
    </row>
    <row r="320" spans="1:15" ht="43.5" x14ac:dyDescent="0.35">
      <c r="A320" s="29">
        <v>168</v>
      </c>
      <c r="B320" s="7" t="s">
        <v>46</v>
      </c>
      <c r="C320" s="12" t="s">
        <v>34</v>
      </c>
      <c r="D320" s="12" t="s">
        <v>1759</v>
      </c>
      <c r="E320" s="4" t="s">
        <v>1760</v>
      </c>
      <c r="F320" s="4" t="s">
        <v>1760</v>
      </c>
      <c r="G320" s="12" t="s">
        <v>1761</v>
      </c>
      <c r="H320" s="12" t="s">
        <v>1762</v>
      </c>
      <c r="I320" s="4" t="s">
        <v>40</v>
      </c>
      <c r="J320" s="6" t="s">
        <v>41</v>
      </c>
      <c r="K320" s="8" t="s">
        <v>1738</v>
      </c>
      <c r="L320" s="8" t="s">
        <v>82</v>
      </c>
      <c r="M320" s="25" t="s">
        <v>1731</v>
      </c>
      <c r="N320" s="25" t="s">
        <v>1739</v>
      </c>
      <c r="O320" s="12" t="s">
        <v>1763</v>
      </c>
    </row>
    <row r="321" spans="1:15" ht="43.5" x14ac:dyDescent="0.35">
      <c r="A321" s="29">
        <v>97</v>
      </c>
      <c r="B321" s="7" t="s">
        <v>46</v>
      </c>
      <c r="C321" s="12" t="s">
        <v>34</v>
      </c>
      <c r="D321" s="12" t="s">
        <v>1764</v>
      </c>
      <c r="E321" s="4" t="s">
        <v>1765</v>
      </c>
      <c r="F321" s="4" t="s">
        <v>1766</v>
      </c>
      <c r="G321" s="12" t="s">
        <v>1767</v>
      </c>
      <c r="H321" s="12" t="s">
        <v>1768</v>
      </c>
      <c r="I321" s="4" t="s">
        <v>40</v>
      </c>
      <c r="J321" s="6" t="s">
        <v>41</v>
      </c>
      <c r="K321" s="8" t="s">
        <v>210</v>
      </c>
      <c r="L321" s="8" t="s">
        <v>43</v>
      </c>
      <c r="M321" s="25" t="s">
        <v>1719</v>
      </c>
      <c r="N321" s="25" t="s">
        <v>1769</v>
      </c>
      <c r="O321" s="12" t="s">
        <v>1770</v>
      </c>
    </row>
    <row r="322" spans="1:15" ht="29" x14ac:dyDescent="0.35">
      <c r="A322" s="29">
        <v>286</v>
      </c>
      <c r="B322" s="7" t="s">
        <v>46</v>
      </c>
      <c r="C322" s="12" t="s">
        <v>34</v>
      </c>
      <c r="D322" s="12" t="s">
        <v>1771</v>
      </c>
      <c r="E322" s="4" t="s">
        <v>1772</v>
      </c>
      <c r="F322" s="4" t="s">
        <v>1772</v>
      </c>
      <c r="G322" s="12" t="s">
        <v>1773</v>
      </c>
      <c r="H322" s="12" t="s">
        <v>1774</v>
      </c>
      <c r="I322" s="4" t="s">
        <v>40</v>
      </c>
      <c r="J322" s="6" t="s">
        <v>41</v>
      </c>
      <c r="K322" s="8" t="s">
        <v>102</v>
      </c>
      <c r="L322" s="30" t="s">
        <v>103</v>
      </c>
      <c r="M322" s="25" t="s">
        <v>1775</v>
      </c>
      <c r="N322" s="25" t="s">
        <v>1776</v>
      </c>
      <c r="O322" s="12" t="s">
        <v>41</v>
      </c>
    </row>
    <row r="323" spans="1:15" ht="29" x14ac:dyDescent="0.35">
      <c r="A323" s="29">
        <v>254</v>
      </c>
      <c r="B323" s="7" t="s">
        <v>46</v>
      </c>
      <c r="C323" s="12" t="s">
        <v>34</v>
      </c>
      <c r="D323" s="12" t="s">
        <v>1777</v>
      </c>
      <c r="E323" s="4" t="s">
        <v>1778</v>
      </c>
      <c r="F323" s="4" t="s">
        <v>1778</v>
      </c>
      <c r="G323" s="12" t="s">
        <v>1779</v>
      </c>
      <c r="H323" s="12" t="s">
        <v>1774</v>
      </c>
      <c r="I323" s="4" t="s">
        <v>40</v>
      </c>
      <c r="J323" s="6" t="s">
        <v>41</v>
      </c>
      <c r="K323" s="8" t="s">
        <v>102</v>
      </c>
      <c r="L323" s="30" t="s">
        <v>103</v>
      </c>
      <c r="M323" s="25" t="s">
        <v>1775</v>
      </c>
      <c r="N323" s="25" t="s">
        <v>1780</v>
      </c>
      <c r="O323" s="12" t="s">
        <v>41</v>
      </c>
    </row>
    <row r="324" spans="1:15" ht="29" x14ac:dyDescent="0.35">
      <c r="A324" s="29">
        <v>287</v>
      </c>
      <c r="B324" s="7" t="s">
        <v>46</v>
      </c>
      <c r="C324" s="12" t="s">
        <v>34</v>
      </c>
      <c r="D324" s="12" t="s">
        <v>1781</v>
      </c>
      <c r="E324" s="4" t="s">
        <v>1782</v>
      </c>
      <c r="F324" s="4" t="s">
        <v>1782</v>
      </c>
      <c r="G324" s="12" t="s">
        <v>1783</v>
      </c>
      <c r="H324" s="12" t="s">
        <v>1774</v>
      </c>
      <c r="I324" s="4" t="s">
        <v>40</v>
      </c>
      <c r="J324" s="6" t="s">
        <v>41</v>
      </c>
      <c r="K324" s="8" t="s">
        <v>102</v>
      </c>
      <c r="L324" s="30" t="s">
        <v>103</v>
      </c>
      <c r="M324" s="25" t="s">
        <v>1775</v>
      </c>
      <c r="N324" s="25" t="s">
        <v>1784</v>
      </c>
      <c r="O324" s="12" t="s">
        <v>41</v>
      </c>
    </row>
    <row r="325" spans="1:15" ht="43.5" x14ac:dyDescent="0.35">
      <c r="A325" s="29">
        <v>66</v>
      </c>
      <c r="B325" s="7" t="s">
        <v>46</v>
      </c>
      <c r="C325" s="12" t="s">
        <v>53</v>
      </c>
      <c r="D325" s="8" t="s">
        <v>1785</v>
      </c>
      <c r="E325" s="6" t="s">
        <v>1786</v>
      </c>
      <c r="F325" s="6" t="s">
        <v>1787</v>
      </c>
      <c r="G325" s="12" t="s">
        <v>1788</v>
      </c>
      <c r="H325" s="12" t="s">
        <v>1789</v>
      </c>
      <c r="I325" s="4" t="s">
        <v>40</v>
      </c>
      <c r="J325" s="6" t="s">
        <v>41</v>
      </c>
      <c r="K325" s="8" t="s">
        <v>1790</v>
      </c>
      <c r="L325" s="8" t="s">
        <v>103</v>
      </c>
      <c r="M325" s="25" t="s">
        <v>1482</v>
      </c>
      <c r="N325" s="25" t="s">
        <v>1791</v>
      </c>
      <c r="O325" s="12" t="s">
        <v>1792</v>
      </c>
    </row>
    <row r="326" spans="1:15" ht="43.5" x14ac:dyDescent="0.35">
      <c r="A326" s="29">
        <v>753</v>
      </c>
      <c r="B326" s="7" t="s">
        <v>46</v>
      </c>
      <c r="C326" s="12" t="s">
        <v>53</v>
      </c>
      <c r="D326" s="12" t="s">
        <v>1793</v>
      </c>
      <c r="E326" s="4" t="s">
        <v>1794</v>
      </c>
      <c r="F326" s="4" t="s">
        <v>1794</v>
      </c>
      <c r="G326" s="12" t="s">
        <v>1795</v>
      </c>
      <c r="H326" s="12" t="s">
        <v>1796</v>
      </c>
      <c r="I326" s="4" t="s">
        <v>40</v>
      </c>
      <c r="J326" s="6" t="s">
        <v>41</v>
      </c>
      <c r="K326" s="8" t="s">
        <v>1797</v>
      </c>
      <c r="L326" s="8" t="s">
        <v>59</v>
      </c>
      <c r="M326" s="25" t="s">
        <v>1798</v>
      </c>
      <c r="N326" s="25" t="s">
        <v>1799</v>
      </c>
      <c r="O326" s="12" t="s">
        <v>1800</v>
      </c>
    </row>
    <row r="327" spans="1:15" ht="43.5" x14ac:dyDescent="0.35">
      <c r="A327" s="29">
        <v>754</v>
      </c>
      <c r="B327" s="7" t="s">
        <v>46</v>
      </c>
      <c r="C327" s="12" t="s">
        <v>53</v>
      </c>
      <c r="D327" s="12" t="s">
        <v>1801</v>
      </c>
      <c r="E327" s="4" t="s">
        <v>1802</v>
      </c>
      <c r="F327" s="4" t="s">
        <v>1802</v>
      </c>
      <c r="G327" s="12" t="s">
        <v>1803</v>
      </c>
      <c r="H327" s="12" t="s">
        <v>1804</v>
      </c>
      <c r="I327" s="4" t="s">
        <v>40</v>
      </c>
      <c r="J327" s="6" t="s">
        <v>41</v>
      </c>
      <c r="K327" s="8" t="s">
        <v>1797</v>
      </c>
      <c r="L327" s="8" t="s">
        <v>59</v>
      </c>
      <c r="M327" s="25" t="s">
        <v>1798</v>
      </c>
      <c r="N327" s="25" t="s">
        <v>1799</v>
      </c>
      <c r="O327" s="12" t="s">
        <v>1805</v>
      </c>
    </row>
    <row r="328" spans="1:15" ht="43.5" x14ac:dyDescent="0.35">
      <c r="A328" s="29">
        <v>65</v>
      </c>
      <c r="B328" s="7" t="s">
        <v>46</v>
      </c>
      <c r="C328" s="12" t="s">
        <v>53</v>
      </c>
      <c r="D328" s="12" t="s">
        <v>1806</v>
      </c>
      <c r="E328" s="4" t="s">
        <v>1807</v>
      </c>
      <c r="F328" s="4" t="s">
        <v>1808</v>
      </c>
      <c r="G328" s="12" t="s">
        <v>1809</v>
      </c>
      <c r="H328" s="12" t="s">
        <v>1810</v>
      </c>
      <c r="I328" s="4" t="s">
        <v>40</v>
      </c>
      <c r="J328" s="6" t="s">
        <v>41</v>
      </c>
      <c r="K328" s="8" t="s">
        <v>376</v>
      </c>
      <c r="L328" s="8" t="s">
        <v>67</v>
      </c>
      <c r="M328" s="25" t="s">
        <v>1489</v>
      </c>
      <c r="N328" s="25" t="s">
        <v>933</v>
      </c>
      <c r="O328" s="12" t="s">
        <v>1811</v>
      </c>
    </row>
    <row r="329" spans="1:15" ht="43.5" x14ac:dyDescent="0.35">
      <c r="A329" s="29">
        <v>120</v>
      </c>
      <c r="B329" s="7" t="s">
        <v>46</v>
      </c>
      <c r="C329" s="12" t="s">
        <v>53</v>
      </c>
      <c r="D329" s="12" t="s">
        <v>1812</v>
      </c>
      <c r="E329" s="4" t="s">
        <v>1813</v>
      </c>
      <c r="F329" s="4" t="s">
        <v>1813</v>
      </c>
      <c r="G329" s="12" t="s">
        <v>1814</v>
      </c>
      <c r="H329" s="12" t="s">
        <v>1814</v>
      </c>
      <c r="I329" s="4" t="s">
        <v>40</v>
      </c>
      <c r="J329" s="6" t="s">
        <v>41</v>
      </c>
      <c r="K329" s="8" t="s">
        <v>1815</v>
      </c>
      <c r="L329" s="8" t="s">
        <v>103</v>
      </c>
      <c r="M329" s="25" t="s">
        <v>136</v>
      </c>
      <c r="N329" s="25" t="s">
        <v>136</v>
      </c>
      <c r="O329" s="12" t="s">
        <v>136</v>
      </c>
    </row>
    <row r="330" spans="1:15" ht="58" x14ac:dyDescent="0.35">
      <c r="A330" s="29">
        <v>118</v>
      </c>
      <c r="B330" s="7" t="s">
        <v>46</v>
      </c>
      <c r="C330" s="12" t="s">
        <v>53</v>
      </c>
      <c r="D330" s="12" t="s">
        <v>1816</v>
      </c>
      <c r="E330" s="4" t="s">
        <v>1817</v>
      </c>
      <c r="F330" s="4" t="s">
        <v>1818</v>
      </c>
      <c r="G330" s="12" t="s">
        <v>1819</v>
      </c>
      <c r="H330" s="12" t="s">
        <v>1820</v>
      </c>
      <c r="I330" s="4" t="s">
        <v>40</v>
      </c>
      <c r="J330" s="6" t="s">
        <v>41</v>
      </c>
      <c r="K330" s="8" t="s">
        <v>1821</v>
      </c>
      <c r="L330" s="8" t="s">
        <v>43</v>
      </c>
      <c r="M330" s="25" t="s">
        <v>1822</v>
      </c>
      <c r="N330" s="25" t="s">
        <v>1823</v>
      </c>
      <c r="O330" s="12" t="s">
        <v>41</v>
      </c>
    </row>
    <row r="331" spans="1:15" ht="145" x14ac:dyDescent="0.35">
      <c r="A331" s="29">
        <v>251</v>
      </c>
      <c r="B331" s="7" t="s">
        <v>46</v>
      </c>
      <c r="C331" s="12" t="s">
        <v>53</v>
      </c>
      <c r="D331" s="12" t="s">
        <v>1824</v>
      </c>
      <c r="E331" s="4" t="s">
        <v>1825</v>
      </c>
      <c r="F331" s="4" t="s">
        <v>1826</v>
      </c>
      <c r="G331" s="32" t="s">
        <v>1827</v>
      </c>
      <c r="H331" s="12" t="s">
        <v>1828</v>
      </c>
      <c r="I331" s="4" t="s">
        <v>40</v>
      </c>
      <c r="J331" s="6" t="s">
        <v>41</v>
      </c>
      <c r="K331" s="8" t="s">
        <v>1829</v>
      </c>
      <c r="L331" s="8" t="s">
        <v>43</v>
      </c>
      <c r="M331" s="25" t="s">
        <v>121</v>
      </c>
      <c r="N331" s="25" t="s">
        <v>1830</v>
      </c>
      <c r="O331" s="8" t="s">
        <v>1831</v>
      </c>
    </row>
    <row r="332" spans="1:15" ht="43.5" x14ac:dyDescent="0.35">
      <c r="A332" s="29">
        <v>111</v>
      </c>
      <c r="B332" s="7" t="s">
        <v>46</v>
      </c>
      <c r="C332" s="12" t="s">
        <v>53</v>
      </c>
      <c r="D332" s="12" t="s">
        <v>1832</v>
      </c>
      <c r="E332" s="4" t="s">
        <v>1833</v>
      </c>
      <c r="F332" s="4" t="s">
        <v>1834</v>
      </c>
      <c r="G332" s="12" t="s">
        <v>1835</v>
      </c>
      <c r="H332" s="12" t="s">
        <v>1820</v>
      </c>
      <c r="I332" s="4" t="s">
        <v>40</v>
      </c>
      <c r="J332" s="6" t="s">
        <v>41</v>
      </c>
      <c r="K332" s="8" t="s">
        <v>1821</v>
      </c>
      <c r="L332" s="8" t="s">
        <v>43</v>
      </c>
      <c r="M332" s="25" t="s">
        <v>1822</v>
      </c>
      <c r="N332" s="25" t="s">
        <v>1836</v>
      </c>
      <c r="O332" s="12" t="s">
        <v>41</v>
      </c>
    </row>
    <row r="333" spans="1:15" ht="43.5" x14ac:dyDescent="0.35">
      <c r="A333" s="29">
        <v>112</v>
      </c>
      <c r="B333" s="7" t="s">
        <v>46</v>
      </c>
      <c r="C333" s="12" t="s">
        <v>53</v>
      </c>
      <c r="D333" s="12" t="s">
        <v>1837</v>
      </c>
      <c r="E333" s="4" t="s">
        <v>1838</v>
      </c>
      <c r="F333" s="4" t="s">
        <v>1839</v>
      </c>
      <c r="G333" s="12" t="s">
        <v>1840</v>
      </c>
      <c r="H333" s="12" t="s">
        <v>1820</v>
      </c>
      <c r="I333" s="4" t="s">
        <v>40</v>
      </c>
      <c r="J333" s="6" t="s">
        <v>41</v>
      </c>
      <c r="K333" s="8" t="s">
        <v>1821</v>
      </c>
      <c r="L333" s="8" t="s">
        <v>43</v>
      </c>
      <c r="M333" s="25" t="s">
        <v>1822</v>
      </c>
      <c r="N333" s="25" t="s">
        <v>1841</v>
      </c>
      <c r="O333" s="12" t="s">
        <v>41</v>
      </c>
    </row>
    <row r="334" spans="1:15" ht="43.5" x14ac:dyDescent="0.35">
      <c r="A334" s="29">
        <v>11</v>
      </c>
      <c r="B334" s="7" t="s">
        <v>46</v>
      </c>
      <c r="C334" s="12" t="s">
        <v>53</v>
      </c>
      <c r="D334" s="12" t="s">
        <v>1842</v>
      </c>
      <c r="E334" s="4" t="s">
        <v>1843</v>
      </c>
      <c r="F334" s="4" t="s">
        <v>1844</v>
      </c>
      <c r="G334" s="12" t="s">
        <v>1845</v>
      </c>
      <c r="H334" s="12" t="s">
        <v>1845</v>
      </c>
      <c r="I334" s="4" t="s">
        <v>40</v>
      </c>
      <c r="J334" s="6" t="s">
        <v>41</v>
      </c>
      <c r="K334" s="8" t="s">
        <v>1846</v>
      </c>
      <c r="L334" s="8" t="s">
        <v>67</v>
      </c>
      <c r="M334" s="25" t="s">
        <v>1489</v>
      </c>
      <c r="N334" s="25" t="s">
        <v>933</v>
      </c>
      <c r="O334" s="12" t="s">
        <v>1847</v>
      </c>
    </row>
    <row r="335" spans="1:15" ht="43.5" x14ac:dyDescent="0.35">
      <c r="A335" s="29">
        <v>632</v>
      </c>
      <c r="B335" s="7" t="s">
        <v>46</v>
      </c>
      <c r="C335" s="12" t="s">
        <v>53</v>
      </c>
      <c r="D335" s="12" t="s">
        <v>1848</v>
      </c>
      <c r="E335" s="4" t="s">
        <v>1849</v>
      </c>
      <c r="F335" s="4" t="s">
        <v>1849</v>
      </c>
      <c r="G335" s="12" t="s">
        <v>1850</v>
      </c>
      <c r="H335" s="12" t="s">
        <v>1850</v>
      </c>
      <c r="I335" s="4" t="s">
        <v>40</v>
      </c>
      <c r="J335" s="6" t="s">
        <v>41</v>
      </c>
      <c r="K335" s="8" t="s">
        <v>210</v>
      </c>
      <c r="L335" s="8" t="s">
        <v>43</v>
      </c>
      <c r="M335" s="25" t="s">
        <v>1822</v>
      </c>
      <c r="N335" s="25" t="s">
        <v>1851</v>
      </c>
      <c r="O335" s="12" t="s">
        <v>1852</v>
      </c>
    </row>
    <row r="336" spans="1:15" ht="43.5" x14ac:dyDescent="0.35">
      <c r="A336" s="29">
        <v>356</v>
      </c>
      <c r="B336" s="7" t="s">
        <v>46</v>
      </c>
      <c r="C336" s="12" t="s">
        <v>53</v>
      </c>
      <c r="D336" s="12" t="s">
        <v>1853</v>
      </c>
      <c r="E336" s="4" t="s">
        <v>1854</v>
      </c>
      <c r="F336" s="4" t="s">
        <v>1854</v>
      </c>
      <c r="G336" s="12" t="s">
        <v>1855</v>
      </c>
      <c r="H336" s="12" t="s">
        <v>1856</v>
      </c>
      <c r="I336" s="4" t="s">
        <v>40</v>
      </c>
      <c r="J336" s="6" t="s">
        <v>41</v>
      </c>
      <c r="K336" s="8" t="s">
        <v>210</v>
      </c>
      <c r="L336" s="30" t="s">
        <v>314</v>
      </c>
      <c r="M336" s="25" t="s">
        <v>1822</v>
      </c>
      <c r="N336" s="25" t="s">
        <v>1851</v>
      </c>
      <c r="O336" s="12" t="s">
        <v>1857</v>
      </c>
    </row>
    <row r="337" spans="1:15" ht="43.5" x14ac:dyDescent="0.35">
      <c r="A337" s="29">
        <v>357</v>
      </c>
      <c r="B337" s="7" t="s">
        <v>46</v>
      </c>
      <c r="C337" s="12" t="s">
        <v>53</v>
      </c>
      <c r="D337" s="12" t="s">
        <v>1858</v>
      </c>
      <c r="E337" s="4" t="s">
        <v>1859</v>
      </c>
      <c r="F337" s="4" t="s">
        <v>1859</v>
      </c>
      <c r="G337" s="12" t="s">
        <v>1860</v>
      </c>
      <c r="H337" s="24" t="s">
        <v>1861</v>
      </c>
      <c r="I337" s="4" t="s">
        <v>40</v>
      </c>
      <c r="J337" s="6" t="s">
        <v>41</v>
      </c>
      <c r="K337" s="8" t="s">
        <v>210</v>
      </c>
      <c r="L337" s="30" t="s">
        <v>314</v>
      </c>
      <c r="M337" s="25" t="s">
        <v>1822</v>
      </c>
      <c r="N337" s="25" t="s">
        <v>1851</v>
      </c>
      <c r="O337" s="12" t="s">
        <v>1862</v>
      </c>
    </row>
    <row r="338" spans="1:15" ht="43.5" x14ac:dyDescent="0.35">
      <c r="A338" s="29">
        <v>113</v>
      </c>
      <c r="B338" s="7" t="s">
        <v>46</v>
      </c>
      <c r="C338" s="12" t="s">
        <v>53</v>
      </c>
      <c r="D338" s="12" t="s">
        <v>1863</v>
      </c>
      <c r="E338" s="4" t="s">
        <v>1864</v>
      </c>
      <c r="F338" s="4" t="s">
        <v>1865</v>
      </c>
      <c r="G338" s="12" t="s">
        <v>1866</v>
      </c>
      <c r="H338" s="12" t="s">
        <v>1820</v>
      </c>
      <c r="I338" s="4" t="s">
        <v>40</v>
      </c>
      <c r="J338" s="6" t="s">
        <v>41</v>
      </c>
      <c r="K338" s="8" t="s">
        <v>1821</v>
      </c>
      <c r="L338" s="8" t="s">
        <v>43</v>
      </c>
      <c r="M338" s="25" t="s">
        <v>136</v>
      </c>
      <c r="N338" s="25" t="s">
        <v>136</v>
      </c>
      <c r="O338" s="12" t="s">
        <v>136</v>
      </c>
    </row>
    <row r="339" spans="1:15" ht="43.5" x14ac:dyDescent="0.35">
      <c r="A339" s="29">
        <v>415</v>
      </c>
      <c r="B339" s="7" t="s">
        <v>46</v>
      </c>
      <c r="C339" s="12" t="s">
        <v>53</v>
      </c>
      <c r="D339" s="12" t="s">
        <v>1867</v>
      </c>
      <c r="E339" s="4" t="s">
        <v>1868</v>
      </c>
      <c r="F339" s="4" t="s">
        <v>1868</v>
      </c>
      <c r="G339" s="12" t="s">
        <v>1869</v>
      </c>
      <c r="H339" s="12" t="s">
        <v>126</v>
      </c>
      <c r="I339" s="4" t="s">
        <v>40</v>
      </c>
      <c r="J339" s="6" t="s">
        <v>41</v>
      </c>
      <c r="K339" s="8" t="s">
        <v>1870</v>
      </c>
      <c r="L339" s="8" t="s">
        <v>43</v>
      </c>
      <c r="M339" s="25" t="s">
        <v>128</v>
      </c>
      <c r="N339" s="25" t="s">
        <v>1871</v>
      </c>
      <c r="O339" s="12" t="s">
        <v>41</v>
      </c>
    </row>
    <row r="340" spans="1:15" ht="43.5" x14ac:dyDescent="0.35">
      <c r="A340" s="29">
        <v>102</v>
      </c>
      <c r="B340" s="7" t="s">
        <v>46</v>
      </c>
      <c r="C340" s="12" t="s">
        <v>53</v>
      </c>
      <c r="D340" s="8" t="s">
        <v>1872</v>
      </c>
      <c r="E340" s="6" t="s">
        <v>1873</v>
      </c>
      <c r="F340" s="52" t="s">
        <v>1874</v>
      </c>
      <c r="G340" s="12" t="s">
        <v>1875</v>
      </c>
      <c r="H340" s="12" t="s">
        <v>1876</v>
      </c>
      <c r="I340" s="4" t="s">
        <v>40</v>
      </c>
      <c r="J340" s="6" t="s">
        <v>41</v>
      </c>
      <c r="K340" s="8" t="s">
        <v>1877</v>
      </c>
      <c r="L340" s="8" t="s">
        <v>1878</v>
      </c>
      <c r="M340" s="25" t="s">
        <v>1879</v>
      </c>
      <c r="N340" s="25" t="s">
        <v>1880</v>
      </c>
      <c r="O340" s="12" t="s">
        <v>41</v>
      </c>
    </row>
    <row r="341" spans="1:15" ht="29" x14ac:dyDescent="0.35">
      <c r="A341" s="29">
        <v>339</v>
      </c>
      <c r="B341" s="7" t="s">
        <v>46</v>
      </c>
      <c r="C341" s="12" t="s">
        <v>1881</v>
      </c>
      <c r="D341" s="12" t="s">
        <v>1882</v>
      </c>
      <c r="E341" s="4" t="s">
        <v>1883</v>
      </c>
      <c r="F341" s="4" t="s">
        <v>1883</v>
      </c>
      <c r="G341" s="12" t="s">
        <v>1884</v>
      </c>
      <c r="H341" s="12" t="s">
        <v>1884</v>
      </c>
      <c r="I341" s="4" t="s">
        <v>40</v>
      </c>
      <c r="J341" s="6" t="s">
        <v>41</v>
      </c>
      <c r="K341" s="8" t="s">
        <v>102</v>
      </c>
      <c r="L341" s="8" t="s">
        <v>103</v>
      </c>
      <c r="M341" s="25" t="s">
        <v>1885</v>
      </c>
      <c r="N341" s="25" t="s">
        <v>1886</v>
      </c>
      <c r="O341" s="12" t="s">
        <v>41</v>
      </c>
    </row>
    <row r="342" spans="1:15" ht="72.5" x14ac:dyDescent="0.35">
      <c r="A342" s="29">
        <v>7</v>
      </c>
      <c r="B342" s="7" t="s">
        <v>46</v>
      </c>
      <c r="C342" s="12" t="s">
        <v>1881</v>
      </c>
      <c r="D342" s="12" t="s">
        <v>1887</v>
      </c>
      <c r="E342" s="4" t="s">
        <v>1888</v>
      </c>
      <c r="F342" s="4" t="s">
        <v>1888</v>
      </c>
      <c r="G342" s="12" t="s">
        <v>1889</v>
      </c>
      <c r="H342" s="12" t="s">
        <v>1889</v>
      </c>
      <c r="I342" s="4" t="s">
        <v>40</v>
      </c>
      <c r="J342" s="6" t="s">
        <v>41</v>
      </c>
      <c r="K342" s="8" t="s">
        <v>111</v>
      </c>
      <c r="L342" s="8" t="s">
        <v>103</v>
      </c>
      <c r="M342" s="25" t="s">
        <v>1890</v>
      </c>
      <c r="N342" s="25" t="s">
        <v>1891</v>
      </c>
      <c r="O342" s="8" t="s">
        <v>1892</v>
      </c>
    </row>
    <row r="343" spans="1:15" ht="43.5" x14ac:dyDescent="0.35">
      <c r="A343" s="29">
        <v>422</v>
      </c>
      <c r="B343" s="7" t="s">
        <v>46</v>
      </c>
      <c r="C343" s="12" t="s">
        <v>1881</v>
      </c>
      <c r="D343" s="12" t="s">
        <v>1893</v>
      </c>
      <c r="E343" s="4" t="s">
        <v>1894</v>
      </c>
      <c r="F343" s="4" t="s">
        <v>1894</v>
      </c>
      <c r="G343" s="12" t="s">
        <v>1895</v>
      </c>
      <c r="H343" s="12" t="s">
        <v>1896</v>
      </c>
      <c r="I343" s="4" t="s">
        <v>40</v>
      </c>
      <c r="J343" s="6" t="s">
        <v>41</v>
      </c>
      <c r="K343" s="8" t="s">
        <v>1897</v>
      </c>
      <c r="L343" s="8" t="s">
        <v>43</v>
      </c>
      <c r="M343" s="25" t="s">
        <v>1885</v>
      </c>
      <c r="N343" s="25" t="s">
        <v>1898</v>
      </c>
      <c r="O343" s="12" t="s">
        <v>41</v>
      </c>
    </row>
    <row r="344" spans="1:15" ht="43.5" x14ac:dyDescent="0.35">
      <c r="A344" s="29">
        <v>4428</v>
      </c>
      <c r="B344" s="7" t="s">
        <v>46</v>
      </c>
      <c r="C344" s="12" t="s">
        <v>1881</v>
      </c>
      <c r="D344" s="12" t="s">
        <v>1899</v>
      </c>
      <c r="E344" s="4" t="s">
        <v>1900</v>
      </c>
      <c r="F344" s="4" t="s">
        <v>1900</v>
      </c>
      <c r="G344" s="12" t="s">
        <v>1901</v>
      </c>
      <c r="H344" s="12" t="s">
        <v>1902</v>
      </c>
      <c r="I344" s="4" t="s">
        <v>40</v>
      </c>
      <c r="J344" s="6" t="s">
        <v>41</v>
      </c>
      <c r="K344" s="8" t="s">
        <v>1903</v>
      </c>
      <c r="L344" s="8" t="s">
        <v>314</v>
      </c>
      <c r="M344" s="25" t="s">
        <v>1885</v>
      </c>
      <c r="N344" s="25" t="s">
        <v>1904</v>
      </c>
      <c r="O344" s="12" t="s">
        <v>41</v>
      </c>
    </row>
    <row r="345" spans="1:15" ht="43.5" x14ac:dyDescent="0.35">
      <c r="A345" s="29">
        <v>159</v>
      </c>
      <c r="B345" s="7" t="s">
        <v>46</v>
      </c>
      <c r="C345" s="12" t="s">
        <v>1881</v>
      </c>
      <c r="D345" s="12" t="s">
        <v>1905</v>
      </c>
      <c r="E345" s="4" t="s">
        <v>1906</v>
      </c>
      <c r="F345" s="4" t="s">
        <v>1907</v>
      </c>
      <c r="G345" s="41" t="s">
        <v>1908</v>
      </c>
      <c r="H345" s="41" t="s">
        <v>1908</v>
      </c>
      <c r="I345" s="4" t="s">
        <v>40</v>
      </c>
      <c r="J345" s="6" t="s">
        <v>41</v>
      </c>
      <c r="K345" s="8" t="s">
        <v>1909</v>
      </c>
      <c r="L345" s="8" t="s">
        <v>43</v>
      </c>
      <c r="M345" s="25" t="s">
        <v>1910</v>
      </c>
      <c r="N345" s="25" t="s">
        <v>1911</v>
      </c>
      <c r="O345" s="12" t="s">
        <v>41</v>
      </c>
    </row>
    <row r="346" spans="1:15" ht="43.5" x14ac:dyDescent="0.35">
      <c r="A346" s="29">
        <v>256</v>
      </c>
      <c r="B346" s="7" t="s">
        <v>46</v>
      </c>
      <c r="C346" s="12" t="s">
        <v>1881</v>
      </c>
      <c r="D346" s="12" t="s">
        <v>1912</v>
      </c>
      <c r="E346" s="4" t="s">
        <v>1913</v>
      </c>
      <c r="F346" s="4" t="s">
        <v>1914</v>
      </c>
      <c r="G346" s="12" t="s">
        <v>1915</v>
      </c>
      <c r="H346" s="12" t="s">
        <v>1915</v>
      </c>
      <c r="I346" s="4" t="s">
        <v>40</v>
      </c>
      <c r="J346" s="6" t="s">
        <v>41</v>
      </c>
      <c r="K346" s="8" t="s">
        <v>1916</v>
      </c>
      <c r="L346" s="8" t="s">
        <v>59</v>
      </c>
      <c r="M346" s="25" t="s">
        <v>1125</v>
      </c>
      <c r="N346" s="25" t="s">
        <v>1917</v>
      </c>
      <c r="O346" s="12" t="s">
        <v>41</v>
      </c>
    </row>
    <row r="347" spans="1:15" ht="29" x14ac:dyDescent="0.35">
      <c r="A347" s="29">
        <v>374</v>
      </c>
      <c r="B347" s="7" t="s">
        <v>46</v>
      </c>
      <c r="C347" s="12" t="s">
        <v>1881</v>
      </c>
      <c r="D347" s="12" t="s">
        <v>1918</v>
      </c>
      <c r="E347" s="4" t="s">
        <v>1919</v>
      </c>
      <c r="F347" s="4" t="s">
        <v>1919</v>
      </c>
      <c r="G347" s="12" t="s">
        <v>1920</v>
      </c>
      <c r="H347" s="12" t="s">
        <v>1921</v>
      </c>
      <c r="I347" s="4" t="s">
        <v>40</v>
      </c>
      <c r="J347" s="6" t="s">
        <v>41</v>
      </c>
      <c r="K347" s="8" t="s">
        <v>102</v>
      </c>
      <c r="L347" s="8" t="s">
        <v>103</v>
      </c>
      <c r="M347" s="25" t="s">
        <v>1885</v>
      </c>
      <c r="N347" s="25" t="s">
        <v>1922</v>
      </c>
      <c r="O347" s="12" t="s">
        <v>41</v>
      </c>
    </row>
    <row r="348" spans="1:15" ht="43.5" x14ac:dyDescent="0.35">
      <c r="A348" s="29">
        <v>455</v>
      </c>
      <c r="B348" s="7" t="s">
        <v>46</v>
      </c>
      <c r="C348" s="12" t="s">
        <v>1881</v>
      </c>
      <c r="D348" s="12" t="s">
        <v>1923</v>
      </c>
      <c r="E348" s="4" t="s">
        <v>1924</v>
      </c>
      <c r="F348" s="4" t="s">
        <v>1924</v>
      </c>
      <c r="G348" s="12" t="s">
        <v>1925</v>
      </c>
      <c r="H348" s="12" t="s">
        <v>1925</v>
      </c>
      <c r="I348" s="4" t="s">
        <v>40</v>
      </c>
      <c r="J348" s="6" t="s">
        <v>41</v>
      </c>
      <c r="K348" s="8" t="s">
        <v>1926</v>
      </c>
      <c r="L348" s="8" t="s">
        <v>43</v>
      </c>
      <c r="M348" s="25" t="s">
        <v>1885</v>
      </c>
      <c r="N348" s="25" t="s">
        <v>1927</v>
      </c>
      <c r="O348" s="12" t="s">
        <v>41</v>
      </c>
    </row>
    <row r="349" spans="1:15" ht="43.5" x14ac:dyDescent="0.35">
      <c r="A349" s="29">
        <v>4313</v>
      </c>
      <c r="B349" s="7" t="s">
        <v>46</v>
      </c>
      <c r="C349" s="12" t="s">
        <v>1881</v>
      </c>
      <c r="D349" s="12" t="s">
        <v>1928</v>
      </c>
      <c r="E349" s="4" t="s">
        <v>1929</v>
      </c>
      <c r="F349" s="4" t="s">
        <v>1929</v>
      </c>
      <c r="G349" s="12" t="s">
        <v>1930</v>
      </c>
      <c r="H349" s="12" t="s">
        <v>1931</v>
      </c>
      <c r="I349" s="4" t="s">
        <v>40</v>
      </c>
      <c r="J349" s="6" t="s">
        <v>41</v>
      </c>
      <c r="K349" s="8" t="s">
        <v>1932</v>
      </c>
      <c r="L349" s="30" t="s">
        <v>82</v>
      </c>
      <c r="M349" s="25" t="s">
        <v>411</v>
      </c>
      <c r="N349" s="25" t="s">
        <v>1933</v>
      </c>
      <c r="O349" s="12" t="s">
        <v>41</v>
      </c>
    </row>
    <row r="350" spans="1:15" ht="43.5" x14ac:dyDescent="0.35">
      <c r="A350" s="29">
        <v>48</v>
      </c>
      <c r="B350" s="7" t="s">
        <v>46</v>
      </c>
      <c r="C350" s="12" t="s">
        <v>1881</v>
      </c>
      <c r="D350" s="12" t="s">
        <v>1934</v>
      </c>
      <c r="E350" s="4" t="s">
        <v>1935</v>
      </c>
      <c r="F350" s="4" t="s">
        <v>1936</v>
      </c>
      <c r="G350" s="12" t="s">
        <v>1937</v>
      </c>
      <c r="H350" s="12" t="s">
        <v>1938</v>
      </c>
      <c r="I350" s="4" t="s">
        <v>40</v>
      </c>
      <c r="J350" s="6" t="s">
        <v>41</v>
      </c>
      <c r="K350" s="8" t="s">
        <v>1939</v>
      </c>
      <c r="L350" s="8" t="s">
        <v>43</v>
      </c>
      <c r="M350" s="25" t="s">
        <v>1940</v>
      </c>
      <c r="N350" s="25" t="s">
        <v>1941</v>
      </c>
      <c r="O350" s="12" t="s">
        <v>41</v>
      </c>
    </row>
    <row r="351" spans="1:15" ht="43.5" x14ac:dyDescent="0.35">
      <c r="A351" s="29">
        <v>49</v>
      </c>
      <c r="B351" s="7" t="s">
        <v>46</v>
      </c>
      <c r="C351" s="12" t="s">
        <v>1881</v>
      </c>
      <c r="D351" s="12" t="s">
        <v>1942</v>
      </c>
      <c r="E351" s="4" t="s">
        <v>1943</v>
      </c>
      <c r="F351" s="4" t="s">
        <v>1944</v>
      </c>
      <c r="G351" s="12" t="s">
        <v>1945</v>
      </c>
      <c r="H351" s="12" t="s">
        <v>1946</v>
      </c>
      <c r="I351" s="4" t="s">
        <v>40</v>
      </c>
      <c r="J351" s="6" t="s">
        <v>41</v>
      </c>
      <c r="K351" s="8" t="s">
        <v>1947</v>
      </c>
      <c r="L351" s="8" t="s">
        <v>43</v>
      </c>
      <c r="M351" s="25" t="s">
        <v>1125</v>
      </c>
      <c r="N351" s="25" t="s">
        <v>1948</v>
      </c>
      <c r="O351" s="12" t="s">
        <v>41</v>
      </c>
    </row>
    <row r="352" spans="1:15" ht="43.5" x14ac:dyDescent="0.35">
      <c r="A352" s="29">
        <v>635</v>
      </c>
      <c r="B352" s="7" t="s">
        <v>46</v>
      </c>
      <c r="C352" s="12" t="s">
        <v>1881</v>
      </c>
      <c r="D352" s="12" t="s">
        <v>1949</v>
      </c>
      <c r="E352" s="4" t="s">
        <v>1950</v>
      </c>
      <c r="F352" s="4" t="s">
        <v>1950</v>
      </c>
      <c r="G352" s="40" t="s">
        <v>1951</v>
      </c>
      <c r="H352" s="12" t="s">
        <v>1952</v>
      </c>
      <c r="I352" s="4" t="s">
        <v>40</v>
      </c>
      <c r="J352" s="6" t="s">
        <v>41</v>
      </c>
      <c r="K352" s="8" t="s">
        <v>696</v>
      </c>
      <c r="L352" s="30" t="s">
        <v>67</v>
      </c>
      <c r="M352" s="25" t="s">
        <v>1117</v>
      </c>
      <c r="N352" s="25" t="s">
        <v>1953</v>
      </c>
      <c r="O352" s="12" t="s">
        <v>41</v>
      </c>
    </row>
    <row r="353" spans="1:15" ht="29" x14ac:dyDescent="0.35">
      <c r="A353" s="29">
        <v>24</v>
      </c>
      <c r="B353" s="7" t="s">
        <v>46</v>
      </c>
      <c r="C353" s="12" t="s">
        <v>1881</v>
      </c>
      <c r="D353" s="12" t="s">
        <v>1954</v>
      </c>
      <c r="E353" s="4" t="s">
        <v>1955</v>
      </c>
      <c r="F353" s="4" t="s">
        <v>1955</v>
      </c>
      <c r="G353" s="12" t="s">
        <v>1956</v>
      </c>
      <c r="H353" s="12" t="s">
        <v>1957</v>
      </c>
      <c r="I353" s="4" t="s">
        <v>40</v>
      </c>
      <c r="J353" s="6" t="s">
        <v>41</v>
      </c>
      <c r="K353" s="8" t="s">
        <v>1958</v>
      </c>
      <c r="L353" s="8" t="s">
        <v>82</v>
      </c>
      <c r="M353" s="25" t="s">
        <v>411</v>
      </c>
      <c r="N353" s="25" t="s">
        <v>1959</v>
      </c>
      <c r="O353" s="12" t="s">
        <v>1960</v>
      </c>
    </row>
    <row r="354" spans="1:15" ht="43.5" x14ac:dyDescent="0.35">
      <c r="A354" s="29">
        <v>25</v>
      </c>
      <c r="B354" s="7" t="s">
        <v>46</v>
      </c>
      <c r="C354" s="12" t="s">
        <v>1881</v>
      </c>
      <c r="D354" s="12" t="s">
        <v>1961</v>
      </c>
      <c r="E354" s="4" t="s">
        <v>1962</v>
      </c>
      <c r="F354" s="4" t="s">
        <v>1963</v>
      </c>
      <c r="G354" s="12" t="s">
        <v>1964</v>
      </c>
      <c r="H354" s="12" t="s">
        <v>1957</v>
      </c>
      <c r="I354" s="4" t="s">
        <v>40</v>
      </c>
      <c r="J354" s="6" t="s">
        <v>41</v>
      </c>
      <c r="K354" s="8" t="s">
        <v>1965</v>
      </c>
      <c r="L354" s="30" t="s">
        <v>1966</v>
      </c>
      <c r="M354" s="25" t="s">
        <v>411</v>
      </c>
      <c r="N354" s="25" t="s">
        <v>1967</v>
      </c>
      <c r="O354" s="12" t="s">
        <v>1960</v>
      </c>
    </row>
    <row r="355" spans="1:15" ht="43.5" x14ac:dyDescent="0.35">
      <c r="A355" s="29">
        <v>225</v>
      </c>
      <c r="B355" s="7" t="s">
        <v>46</v>
      </c>
      <c r="C355" s="12" t="s">
        <v>1881</v>
      </c>
      <c r="D355" s="12" t="s">
        <v>1968</v>
      </c>
      <c r="E355" s="4" t="s">
        <v>1969</v>
      </c>
      <c r="F355" s="4" t="s">
        <v>1970</v>
      </c>
      <c r="G355" s="12" t="s">
        <v>1971</v>
      </c>
      <c r="H355" s="12" t="s">
        <v>1972</v>
      </c>
      <c r="I355" s="4" t="s">
        <v>40</v>
      </c>
      <c r="J355" s="6" t="s">
        <v>41</v>
      </c>
      <c r="K355" s="8" t="s">
        <v>620</v>
      </c>
      <c r="L355" s="30" t="s">
        <v>135</v>
      </c>
      <c r="M355" s="25" t="s">
        <v>411</v>
      </c>
      <c r="N355" s="25" t="s">
        <v>1973</v>
      </c>
      <c r="O355" s="12" t="s">
        <v>41</v>
      </c>
    </row>
    <row r="356" spans="1:15" ht="43.5" x14ac:dyDescent="0.35">
      <c r="A356" s="29">
        <v>255</v>
      </c>
      <c r="B356" s="7" t="s">
        <v>46</v>
      </c>
      <c r="C356" s="12" t="s">
        <v>1881</v>
      </c>
      <c r="D356" s="12" t="s">
        <v>1974</v>
      </c>
      <c r="E356" s="4" t="s">
        <v>1975</v>
      </c>
      <c r="F356" s="4" t="s">
        <v>1976</v>
      </c>
      <c r="G356" s="12" t="s">
        <v>1977</v>
      </c>
      <c r="H356" s="12" t="s">
        <v>1978</v>
      </c>
      <c r="I356" s="4" t="s">
        <v>40</v>
      </c>
      <c r="J356" s="6" t="s">
        <v>41</v>
      </c>
      <c r="K356" s="8" t="s">
        <v>1979</v>
      </c>
      <c r="L356" s="8" t="s">
        <v>43</v>
      </c>
      <c r="M356" s="25" t="s">
        <v>411</v>
      </c>
      <c r="N356" s="25" t="s">
        <v>1980</v>
      </c>
      <c r="O356" s="12" t="s">
        <v>41</v>
      </c>
    </row>
    <row r="357" spans="1:15" ht="43.5" x14ac:dyDescent="0.35">
      <c r="A357" s="29">
        <v>196</v>
      </c>
      <c r="B357" s="7" t="s">
        <v>46</v>
      </c>
      <c r="C357" s="12" t="s">
        <v>1881</v>
      </c>
      <c r="D357" s="12" t="s">
        <v>1981</v>
      </c>
      <c r="E357" s="4" t="s">
        <v>1982</v>
      </c>
      <c r="F357" s="4" t="s">
        <v>1983</v>
      </c>
      <c r="G357" s="12" t="s">
        <v>1984</v>
      </c>
      <c r="H357" s="12" t="s">
        <v>1985</v>
      </c>
      <c r="I357" s="4" t="s">
        <v>40</v>
      </c>
      <c r="J357" s="6" t="s">
        <v>41</v>
      </c>
      <c r="K357" s="8" t="s">
        <v>1986</v>
      </c>
      <c r="L357" s="8" t="s">
        <v>67</v>
      </c>
      <c r="M357" s="25" t="s">
        <v>411</v>
      </c>
      <c r="N357" s="25" t="s">
        <v>1987</v>
      </c>
      <c r="O357" s="12" t="s">
        <v>41</v>
      </c>
    </row>
    <row r="358" spans="1:15" ht="43.5" x14ac:dyDescent="0.35">
      <c r="A358" s="29">
        <v>498</v>
      </c>
      <c r="B358" s="7" t="s">
        <v>46</v>
      </c>
      <c r="C358" s="12" t="s">
        <v>1881</v>
      </c>
      <c r="D358" s="12" t="s">
        <v>1988</v>
      </c>
      <c r="E358" s="4" t="s">
        <v>1989</v>
      </c>
      <c r="F358" s="4" t="s">
        <v>1989</v>
      </c>
      <c r="G358" s="12" t="s">
        <v>1990</v>
      </c>
      <c r="H358" s="12" t="s">
        <v>1990</v>
      </c>
      <c r="I358" s="4" t="s">
        <v>40</v>
      </c>
      <c r="J358" s="6" t="s">
        <v>41</v>
      </c>
      <c r="K358" s="8" t="s">
        <v>1046</v>
      </c>
      <c r="L358" s="30" t="s">
        <v>314</v>
      </c>
      <c r="M358" s="25" t="s">
        <v>1885</v>
      </c>
      <c r="N358" s="25" t="s">
        <v>1991</v>
      </c>
      <c r="O358" s="12" t="s">
        <v>41</v>
      </c>
    </row>
    <row r="359" spans="1:15" ht="43.5" x14ac:dyDescent="0.35">
      <c r="A359" s="29">
        <v>228</v>
      </c>
      <c r="B359" s="7" t="s">
        <v>46</v>
      </c>
      <c r="C359" s="12" t="s">
        <v>1881</v>
      </c>
      <c r="D359" s="12" t="s">
        <v>1992</v>
      </c>
      <c r="E359" s="4" t="s">
        <v>1993</v>
      </c>
      <c r="F359" s="4" t="s">
        <v>1994</v>
      </c>
      <c r="G359" s="12" t="s">
        <v>1995</v>
      </c>
      <c r="H359" s="12" t="s">
        <v>1996</v>
      </c>
      <c r="I359" s="4" t="s">
        <v>40</v>
      </c>
      <c r="J359" s="6" t="s">
        <v>41</v>
      </c>
      <c r="K359" s="8" t="s">
        <v>1997</v>
      </c>
      <c r="L359" s="8" t="s">
        <v>1878</v>
      </c>
      <c r="M359" s="25" t="s">
        <v>411</v>
      </c>
      <c r="N359" s="25" t="s">
        <v>1998</v>
      </c>
      <c r="O359" s="12" t="s">
        <v>41</v>
      </c>
    </row>
    <row r="360" spans="1:15" ht="43.5" x14ac:dyDescent="0.35">
      <c r="A360" s="29">
        <v>288</v>
      </c>
      <c r="B360" s="7" t="s">
        <v>46</v>
      </c>
      <c r="C360" s="12" t="s">
        <v>1881</v>
      </c>
      <c r="D360" s="12" t="s">
        <v>1999</v>
      </c>
      <c r="E360" s="4" t="s">
        <v>2000</v>
      </c>
      <c r="F360" s="4" t="s">
        <v>2000</v>
      </c>
      <c r="G360" s="12" t="s">
        <v>2001</v>
      </c>
      <c r="H360" s="12" t="s">
        <v>2002</v>
      </c>
      <c r="I360" s="4" t="s">
        <v>40</v>
      </c>
      <c r="J360" s="6" t="s">
        <v>41</v>
      </c>
      <c r="K360" s="8" t="s">
        <v>1997</v>
      </c>
      <c r="L360" s="8" t="s">
        <v>1878</v>
      </c>
      <c r="M360" s="25" t="s">
        <v>411</v>
      </c>
      <c r="N360" s="25" t="s">
        <v>2003</v>
      </c>
      <c r="O360" s="12" t="s">
        <v>41</v>
      </c>
    </row>
    <row r="361" spans="1:15" ht="43.5" x14ac:dyDescent="0.35">
      <c r="A361" s="29">
        <v>43</v>
      </c>
      <c r="B361" s="7" t="s">
        <v>46</v>
      </c>
      <c r="C361" s="12" t="s">
        <v>1881</v>
      </c>
      <c r="D361" s="12" t="s">
        <v>2004</v>
      </c>
      <c r="E361" s="4" t="s">
        <v>2005</v>
      </c>
      <c r="F361" s="4" t="s">
        <v>1969</v>
      </c>
      <c r="G361" s="12" t="s">
        <v>2006</v>
      </c>
      <c r="H361" s="12" t="s">
        <v>2007</v>
      </c>
      <c r="I361" s="4" t="s">
        <v>40</v>
      </c>
      <c r="J361" s="6" t="s">
        <v>41</v>
      </c>
      <c r="K361" s="8" t="s">
        <v>2008</v>
      </c>
      <c r="L361" s="30" t="s">
        <v>1966</v>
      </c>
      <c r="M361" s="25" t="s">
        <v>2009</v>
      </c>
      <c r="N361" s="25" t="s">
        <v>2010</v>
      </c>
      <c r="O361" s="12" t="s">
        <v>2011</v>
      </c>
    </row>
    <row r="362" spans="1:15" ht="29" x14ac:dyDescent="0.35">
      <c r="A362" s="29">
        <v>4260</v>
      </c>
      <c r="B362" s="7" t="s">
        <v>46</v>
      </c>
      <c r="C362" s="12" t="s">
        <v>1881</v>
      </c>
      <c r="D362" s="12" t="s">
        <v>2012</v>
      </c>
      <c r="E362" s="4" t="s">
        <v>2013</v>
      </c>
      <c r="F362" s="4" t="s">
        <v>2013</v>
      </c>
      <c r="G362" s="12" t="s">
        <v>2014</v>
      </c>
      <c r="H362" s="12" t="s">
        <v>2014</v>
      </c>
      <c r="I362" s="4" t="s">
        <v>40</v>
      </c>
      <c r="J362" s="6" t="s">
        <v>41</v>
      </c>
      <c r="K362" s="8" t="s">
        <v>102</v>
      </c>
      <c r="L362" s="8" t="s">
        <v>103</v>
      </c>
      <c r="M362" s="25" t="s">
        <v>1885</v>
      </c>
      <c r="N362" s="25" t="s">
        <v>2015</v>
      </c>
      <c r="O362" s="12" t="s">
        <v>41</v>
      </c>
    </row>
    <row r="363" spans="1:15" ht="43.5" x14ac:dyDescent="0.35">
      <c r="A363" s="29">
        <v>4267</v>
      </c>
      <c r="B363" s="7" t="s">
        <v>46</v>
      </c>
      <c r="C363" s="12" t="s">
        <v>1881</v>
      </c>
      <c r="D363" s="12" t="s">
        <v>2016</v>
      </c>
      <c r="E363" s="4" t="s">
        <v>2005</v>
      </c>
      <c r="F363" s="4" t="s">
        <v>2005</v>
      </c>
      <c r="G363" s="12" t="s">
        <v>2017</v>
      </c>
      <c r="H363" s="12" t="s">
        <v>2018</v>
      </c>
      <c r="I363" s="4" t="s">
        <v>40</v>
      </c>
      <c r="J363" s="6" t="s">
        <v>41</v>
      </c>
      <c r="K363" s="8" t="s">
        <v>2019</v>
      </c>
      <c r="L363" s="8" t="s">
        <v>1878</v>
      </c>
      <c r="M363" s="25" t="s">
        <v>411</v>
      </c>
      <c r="N363" s="25" t="s">
        <v>2020</v>
      </c>
      <c r="O363" s="12" t="s">
        <v>41</v>
      </c>
    </row>
    <row r="364" spans="1:15" ht="43.5" x14ac:dyDescent="0.35">
      <c r="A364" s="29">
        <v>42</v>
      </c>
      <c r="B364" s="7" t="s">
        <v>46</v>
      </c>
      <c r="C364" s="12" t="s">
        <v>1881</v>
      </c>
      <c r="D364" s="12" t="s">
        <v>2021</v>
      </c>
      <c r="E364" s="4" t="s">
        <v>2005</v>
      </c>
      <c r="F364" s="4" t="s">
        <v>1969</v>
      </c>
      <c r="G364" s="12" t="s">
        <v>2022</v>
      </c>
      <c r="H364" s="12" t="s">
        <v>2023</v>
      </c>
      <c r="I364" s="4" t="s">
        <v>40</v>
      </c>
      <c r="J364" s="6" t="s">
        <v>41</v>
      </c>
      <c r="K364" s="8" t="s">
        <v>2008</v>
      </c>
      <c r="L364" s="30" t="s">
        <v>1966</v>
      </c>
      <c r="M364" s="25" t="s">
        <v>2024</v>
      </c>
      <c r="N364" s="25" t="s">
        <v>2025</v>
      </c>
      <c r="O364" s="12" t="s">
        <v>2026</v>
      </c>
    </row>
    <row r="365" spans="1:15" ht="43.5" x14ac:dyDescent="0.35">
      <c r="A365" s="29">
        <v>236</v>
      </c>
      <c r="B365" s="7" t="s">
        <v>46</v>
      </c>
      <c r="C365" s="12" t="s">
        <v>1881</v>
      </c>
      <c r="D365" s="12" t="s">
        <v>2027</v>
      </c>
      <c r="E365" s="4" t="s">
        <v>1969</v>
      </c>
      <c r="F365" s="4" t="s">
        <v>1970</v>
      </c>
      <c r="G365" s="12" t="s">
        <v>2028</v>
      </c>
      <c r="H365" s="12" t="s">
        <v>2029</v>
      </c>
      <c r="I365" s="4" t="s">
        <v>40</v>
      </c>
      <c r="J365" s="6" t="s">
        <v>41</v>
      </c>
      <c r="K365" s="8" t="s">
        <v>620</v>
      </c>
      <c r="L365" s="30" t="s">
        <v>135</v>
      </c>
      <c r="M365" s="25" t="s">
        <v>411</v>
      </c>
      <c r="N365" s="25" t="s">
        <v>2030</v>
      </c>
      <c r="O365" s="12" t="s">
        <v>41</v>
      </c>
    </row>
    <row r="366" spans="1:15" ht="43.5" x14ac:dyDescent="0.35">
      <c r="A366" s="29">
        <v>315</v>
      </c>
      <c r="B366" s="7" t="s">
        <v>46</v>
      </c>
      <c r="C366" s="12" t="s">
        <v>1881</v>
      </c>
      <c r="D366" s="12" t="s">
        <v>2031</v>
      </c>
      <c r="E366" s="4" t="s">
        <v>2032</v>
      </c>
      <c r="F366" s="4" t="s">
        <v>2032</v>
      </c>
      <c r="G366" s="12" t="s">
        <v>2033</v>
      </c>
      <c r="H366" s="12" t="s">
        <v>2034</v>
      </c>
      <c r="I366" s="4" t="s">
        <v>40</v>
      </c>
      <c r="J366" s="6" t="s">
        <v>41</v>
      </c>
      <c r="K366" s="8" t="s">
        <v>2035</v>
      </c>
      <c r="L366" s="8" t="s">
        <v>1342</v>
      </c>
      <c r="M366" s="25" t="s">
        <v>411</v>
      </c>
      <c r="N366" s="25" t="s">
        <v>2036</v>
      </c>
      <c r="O366" s="12" t="s">
        <v>41</v>
      </c>
    </row>
    <row r="367" spans="1:15" ht="43.5" x14ac:dyDescent="0.35">
      <c r="A367" s="29">
        <v>224</v>
      </c>
      <c r="B367" s="7" t="s">
        <v>46</v>
      </c>
      <c r="C367" s="12" t="s">
        <v>1881</v>
      </c>
      <c r="D367" s="12" t="s">
        <v>2037</v>
      </c>
      <c r="E367" s="4" t="s">
        <v>2038</v>
      </c>
      <c r="F367" s="4" t="s">
        <v>2039</v>
      </c>
      <c r="G367" s="12" t="s">
        <v>2040</v>
      </c>
      <c r="H367" s="12" t="s">
        <v>2041</v>
      </c>
      <c r="I367" s="4" t="s">
        <v>40</v>
      </c>
      <c r="J367" s="6" t="s">
        <v>41</v>
      </c>
      <c r="K367" s="8" t="s">
        <v>2042</v>
      </c>
      <c r="L367" s="30" t="s">
        <v>135</v>
      </c>
      <c r="M367" s="25" t="s">
        <v>411</v>
      </c>
      <c r="N367" s="25" t="s">
        <v>2043</v>
      </c>
      <c r="O367" s="12" t="s">
        <v>41</v>
      </c>
    </row>
    <row r="368" spans="1:15" ht="43.5" x14ac:dyDescent="0.35">
      <c r="A368" s="29">
        <v>3</v>
      </c>
      <c r="B368" s="7" t="s">
        <v>46</v>
      </c>
      <c r="C368" s="12" t="s">
        <v>1881</v>
      </c>
      <c r="D368" s="12" t="s">
        <v>2044</v>
      </c>
      <c r="E368" s="4" t="s">
        <v>2045</v>
      </c>
      <c r="F368" s="4" t="s">
        <v>2046</v>
      </c>
      <c r="G368" s="12" t="s">
        <v>2047</v>
      </c>
      <c r="H368" s="12" t="s">
        <v>2047</v>
      </c>
      <c r="I368" s="4" t="s">
        <v>40</v>
      </c>
      <c r="J368" s="6" t="s">
        <v>41</v>
      </c>
      <c r="K368" s="8" t="s">
        <v>2048</v>
      </c>
      <c r="L368" s="30" t="s">
        <v>135</v>
      </c>
      <c r="M368" s="25" t="s">
        <v>411</v>
      </c>
      <c r="N368" s="25" t="s">
        <v>2049</v>
      </c>
      <c r="O368" s="12" t="s">
        <v>41</v>
      </c>
    </row>
    <row r="369" spans="1:15" ht="43.5" x14ac:dyDescent="0.35">
      <c r="A369" s="29">
        <v>193</v>
      </c>
      <c r="B369" s="7" t="s">
        <v>46</v>
      </c>
      <c r="C369" s="12" t="s">
        <v>1881</v>
      </c>
      <c r="D369" s="12" t="s">
        <v>2050</v>
      </c>
      <c r="E369" s="4" t="s">
        <v>2051</v>
      </c>
      <c r="F369" s="4" t="s">
        <v>2051</v>
      </c>
      <c r="G369" s="12" t="s">
        <v>2052</v>
      </c>
      <c r="H369" s="12" t="s">
        <v>2053</v>
      </c>
      <c r="I369" s="4" t="s">
        <v>40</v>
      </c>
      <c r="J369" s="6" t="s">
        <v>41</v>
      </c>
      <c r="K369" s="8" t="s">
        <v>66</v>
      </c>
      <c r="L369" s="30" t="s">
        <v>67</v>
      </c>
      <c r="M369" s="25" t="s">
        <v>1885</v>
      </c>
      <c r="N369" s="25" t="s">
        <v>2054</v>
      </c>
      <c r="O369" s="12" t="s">
        <v>41</v>
      </c>
    </row>
    <row r="370" spans="1:15" ht="43.5" x14ac:dyDescent="0.35">
      <c r="A370" s="29">
        <v>300</v>
      </c>
      <c r="B370" s="7" t="s">
        <v>46</v>
      </c>
      <c r="C370" s="12" t="s">
        <v>1881</v>
      </c>
      <c r="D370" s="12" t="s">
        <v>2055</v>
      </c>
      <c r="E370" s="4" t="s">
        <v>2056</v>
      </c>
      <c r="F370" s="4" t="s">
        <v>2056</v>
      </c>
      <c r="G370" s="12" t="s">
        <v>2057</v>
      </c>
      <c r="H370" s="12" t="s">
        <v>2057</v>
      </c>
      <c r="I370" s="4" t="s">
        <v>40</v>
      </c>
      <c r="J370" s="6" t="s">
        <v>41</v>
      </c>
      <c r="K370" s="8" t="s">
        <v>2058</v>
      </c>
      <c r="L370" s="8" t="s">
        <v>2059</v>
      </c>
      <c r="M370" s="25" t="s">
        <v>1885</v>
      </c>
      <c r="N370" s="25" t="s">
        <v>2060</v>
      </c>
      <c r="O370" s="12" t="s">
        <v>41</v>
      </c>
    </row>
    <row r="371" spans="1:15" ht="43.5" x14ac:dyDescent="0.35">
      <c r="A371" s="29">
        <v>299</v>
      </c>
      <c r="B371" s="7" t="s">
        <v>46</v>
      </c>
      <c r="C371" s="12" t="s">
        <v>1881</v>
      </c>
      <c r="D371" s="12" t="s">
        <v>2061</v>
      </c>
      <c r="E371" s="4" t="s">
        <v>2062</v>
      </c>
      <c r="F371" s="4" t="s">
        <v>2062</v>
      </c>
      <c r="G371" s="12" t="s">
        <v>2063</v>
      </c>
      <c r="H371" s="12" t="s">
        <v>2063</v>
      </c>
      <c r="I371" s="4" t="s">
        <v>40</v>
      </c>
      <c r="J371" s="6" t="s">
        <v>41</v>
      </c>
      <c r="K371" s="8" t="s">
        <v>2064</v>
      </c>
      <c r="L371" s="8" t="s">
        <v>2065</v>
      </c>
      <c r="M371" s="25" t="s">
        <v>1885</v>
      </c>
      <c r="N371" s="25" t="s">
        <v>2066</v>
      </c>
      <c r="O371" s="12" t="s">
        <v>41</v>
      </c>
    </row>
    <row r="372" spans="1:15" ht="43.5" x14ac:dyDescent="0.35">
      <c r="A372" s="29">
        <v>298</v>
      </c>
      <c r="B372" s="7" t="s">
        <v>46</v>
      </c>
      <c r="C372" s="12" t="s">
        <v>1881</v>
      </c>
      <c r="D372" s="12" t="s">
        <v>2067</v>
      </c>
      <c r="E372" s="4" t="s">
        <v>2068</v>
      </c>
      <c r="F372" s="4" t="s">
        <v>2068</v>
      </c>
      <c r="G372" s="12" t="s">
        <v>2069</v>
      </c>
      <c r="H372" s="12" t="s">
        <v>2069</v>
      </c>
      <c r="I372" s="4" t="s">
        <v>40</v>
      </c>
      <c r="J372" s="6" t="s">
        <v>41</v>
      </c>
      <c r="K372" s="8" t="s">
        <v>2070</v>
      </c>
      <c r="L372" s="8" t="s">
        <v>2065</v>
      </c>
      <c r="M372" s="25" t="s">
        <v>1885</v>
      </c>
      <c r="N372" s="25" t="s">
        <v>2071</v>
      </c>
      <c r="O372" s="12" t="s">
        <v>41</v>
      </c>
    </row>
    <row r="373" spans="1:15" ht="43.5" x14ac:dyDescent="0.35">
      <c r="A373" s="29">
        <v>4259</v>
      </c>
      <c r="B373" s="7" t="s">
        <v>46</v>
      </c>
      <c r="C373" s="12" t="s">
        <v>1881</v>
      </c>
      <c r="D373" s="12" t="s">
        <v>2072</v>
      </c>
      <c r="E373" s="21" t="s">
        <v>2073</v>
      </c>
      <c r="F373" s="21" t="s">
        <v>2073</v>
      </c>
      <c r="G373" s="12" t="s">
        <v>2074</v>
      </c>
      <c r="H373" s="12" t="s">
        <v>2075</v>
      </c>
      <c r="I373" s="4" t="s">
        <v>40</v>
      </c>
      <c r="J373" s="6" t="s">
        <v>41</v>
      </c>
      <c r="K373" s="8" t="s">
        <v>2076</v>
      </c>
      <c r="L373" s="8" t="s">
        <v>2077</v>
      </c>
      <c r="M373" s="25" t="s">
        <v>1885</v>
      </c>
      <c r="N373" s="25" t="s">
        <v>2078</v>
      </c>
      <c r="O373" s="12" t="s">
        <v>41</v>
      </c>
    </row>
    <row r="374" spans="1:15" ht="43.5" x14ac:dyDescent="0.35">
      <c r="A374" s="29">
        <v>1</v>
      </c>
      <c r="B374" s="7" t="s">
        <v>46</v>
      </c>
      <c r="C374" s="12" t="s">
        <v>1881</v>
      </c>
      <c r="D374" s="12" t="s">
        <v>2079</v>
      </c>
      <c r="E374" s="4" t="s">
        <v>2080</v>
      </c>
      <c r="F374" s="4" t="s">
        <v>2081</v>
      </c>
      <c r="G374" s="12" t="s">
        <v>2082</v>
      </c>
      <c r="H374" s="12" t="s">
        <v>2082</v>
      </c>
      <c r="I374" s="4" t="s">
        <v>40</v>
      </c>
      <c r="J374" s="6" t="s">
        <v>41</v>
      </c>
      <c r="K374" s="8" t="s">
        <v>2083</v>
      </c>
      <c r="L374" s="30" t="s">
        <v>135</v>
      </c>
      <c r="M374" s="25" t="s">
        <v>411</v>
      </c>
      <c r="N374" s="25" t="s">
        <v>2084</v>
      </c>
      <c r="O374" s="12" t="s">
        <v>41</v>
      </c>
    </row>
    <row r="375" spans="1:15" ht="43.5" x14ac:dyDescent="0.35">
      <c r="A375" s="29">
        <v>2</v>
      </c>
      <c r="B375" s="7" t="s">
        <v>46</v>
      </c>
      <c r="C375" s="12" t="s">
        <v>1881</v>
      </c>
      <c r="D375" s="12" t="s">
        <v>2085</v>
      </c>
      <c r="E375" s="4" t="s">
        <v>2086</v>
      </c>
      <c r="F375" s="4" t="s">
        <v>2087</v>
      </c>
      <c r="G375" s="12" t="s">
        <v>2088</v>
      </c>
      <c r="H375" s="12" t="s">
        <v>2088</v>
      </c>
      <c r="I375" s="4" t="s">
        <v>40</v>
      </c>
      <c r="J375" s="6" t="s">
        <v>41</v>
      </c>
      <c r="K375" s="8" t="s">
        <v>2048</v>
      </c>
      <c r="L375" s="30" t="s">
        <v>135</v>
      </c>
      <c r="M375" s="25" t="s">
        <v>411</v>
      </c>
      <c r="N375" s="25" t="s">
        <v>2089</v>
      </c>
      <c r="O375" s="12" t="s">
        <v>41</v>
      </c>
    </row>
    <row r="376" spans="1:15" ht="43.5" x14ac:dyDescent="0.35">
      <c r="A376" s="29">
        <v>913</v>
      </c>
      <c r="B376" s="7" t="s">
        <v>46</v>
      </c>
      <c r="C376" s="12" t="s">
        <v>1881</v>
      </c>
      <c r="D376" s="12" t="s">
        <v>2090</v>
      </c>
      <c r="E376" s="4" t="s">
        <v>2091</v>
      </c>
      <c r="F376" s="4" t="s">
        <v>2091</v>
      </c>
      <c r="G376" s="12" t="s">
        <v>2092</v>
      </c>
      <c r="H376" s="12" t="s">
        <v>2093</v>
      </c>
      <c r="I376" s="4" t="s">
        <v>40</v>
      </c>
      <c r="J376" s="6" t="s">
        <v>41</v>
      </c>
      <c r="K376" s="8" t="s">
        <v>539</v>
      </c>
      <c r="L376" s="8" t="s">
        <v>314</v>
      </c>
      <c r="M376" s="25" t="s">
        <v>1885</v>
      </c>
      <c r="N376" s="25" t="s">
        <v>2094</v>
      </c>
      <c r="O376" s="12" t="s">
        <v>41</v>
      </c>
    </row>
    <row r="377" spans="1:15" ht="43.5" x14ac:dyDescent="0.35">
      <c r="A377" s="29">
        <v>914</v>
      </c>
      <c r="B377" s="7" t="s">
        <v>46</v>
      </c>
      <c r="C377" s="12" t="s">
        <v>1881</v>
      </c>
      <c r="D377" s="12" t="s">
        <v>2095</v>
      </c>
      <c r="E377" s="4" t="s">
        <v>2096</v>
      </c>
      <c r="F377" s="4" t="s">
        <v>2096</v>
      </c>
      <c r="G377" s="12" t="s">
        <v>2097</v>
      </c>
      <c r="H377" s="12" t="s">
        <v>2098</v>
      </c>
      <c r="I377" s="4" t="s">
        <v>40</v>
      </c>
      <c r="J377" s="6" t="s">
        <v>41</v>
      </c>
      <c r="K377" s="8" t="s">
        <v>539</v>
      </c>
      <c r="L377" s="8" t="s">
        <v>314</v>
      </c>
      <c r="M377" s="25" t="s">
        <v>1885</v>
      </c>
      <c r="N377" s="25" t="s">
        <v>2099</v>
      </c>
      <c r="O377" s="12" t="s">
        <v>41</v>
      </c>
    </row>
    <row r="378" spans="1:15" ht="43.5" x14ac:dyDescent="0.35">
      <c r="A378" s="29">
        <v>911</v>
      </c>
      <c r="B378" s="7" t="s">
        <v>46</v>
      </c>
      <c r="C378" s="12" t="s">
        <v>1881</v>
      </c>
      <c r="D378" s="12" t="s">
        <v>2100</v>
      </c>
      <c r="E378" s="4" t="s">
        <v>2101</v>
      </c>
      <c r="F378" s="4" t="s">
        <v>2101</v>
      </c>
      <c r="G378" s="12" t="s">
        <v>2102</v>
      </c>
      <c r="H378" s="12" t="s">
        <v>2103</v>
      </c>
      <c r="I378" s="4" t="s">
        <v>40</v>
      </c>
      <c r="J378" s="6" t="s">
        <v>41</v>
      </c>
      <c r="K378" s="8" t="s">
        <v>2104</v>
      </c>
      <c r="L378" s="8" t="s">
        <v>59</v>
      </c>
      <c r="M378" s="25" t="s">
        <v>1885</v>
      </c>
      <c r="N378" s="25" t="s">
        <v>2105</v>
      </c>
      <c r="O378" s="12" t="s">
        <v>41</v>
      </c>
    </row>
    <row r="379" spans="1:15" ht="43.5" x14ac:dyDescent="0.35">
      <c r="A379" s="29">
        <v>912</v>
      </c>
      <c r="B379" s="7" t="s">
        <v>46</v>
      </c>
      <c r="C379" s="12" t="s">
        <v>1881</v>
      </c>
      <c r="D379" s="12" t="s">
        <v>2106</v>
      </c>
      <c r="E379" s="4" t="s">
        <v>2107</v>
      </c>
      <c r="F379" s="4" t="s">
        <v>2107</v>
      </c>
      <c r="G379" s="12" t="s">
        <v>2108</v>
      </c>
      <c r="H379" s="12" t="s">
        <v>2109</v>
      </c>
      <c r="I379" s="4" t="s">
        <v>40</v>
      </c>
      <c r="J379" s="6" t="s">
        <v>41</v>
      </c>
      <c r="K379" s="8" t="s">
        <v>539</v>
      </c>
      <c r="L379" s="8" t="s">
        <v>314</v>
      </c>
      <c r="M379" s="25" t="s">
        <v>1885</v>
      </c>
      <c r="N379" s="25" t="s">
        <v>2110</v>
      </c>
      <c r="O379" s="12" t="s">
        <v>41</v>
      </c>
    </row>
    <row r="380" spans="1:15" ht="43.5" x14ac:dyDescent="0.35">
      <c r="A380" s="29">
        <v>915</v>
      </c>
      <c r="B380" s="7" t="s">
        <v>46</v>
      </c>
      <c r="C380" s="12" t="s">
        <v>1881</v>
      </c>
      <c r="D380" s="12" t="s">
        <v>2111</v>
      </c>
      <c r="E380" s="4" t="s">
        <v>2112</v>
      </c>
      <c r="F380" s="4" t="s">
        <v>2112</v>
      </c>
      <c r="G380" s="12" t="s">
        <v>2113</v>
      </c>
      <c r="H380" s="12" t="s">
        <v>2114</v>
      </c>
      <c r="I380" s="4" t="s">
        <v>40</v>
      </c>
      <c r="J380" s="6" t="s">
        <v>41</v>
      </c>
      <c r="K380" s="8" t="s">
        <v>539</v>
      </c>
      <c r="L380" s="8" t="s">
        <v>314</v>
      </c>
      <c r="M380" s="25" t="s">
        <v>1885</v>
      </c>
      <c r="N380" s="25" t="s">
        <v>2115</v>
      </c>
      <c r="O380" s="12" t="s">
        <v>41</v>
      </c>
    </row>
    <row r="381" spans="1:15" ht="43.5" x14ac:dyDescent="0.35">
      <c r="A381" s="29">
        <v>156</v>
      </c>
      <c r="B381" s="7" t="s">
        <v>46</v>
      </c>
      <c r="C381" s="12" t="s">
        <v>1881</v>
      </c>
      <c r="D381" s="12" t="s">
        <v>2116</v>
      </c>
      <c r="E381" s="4" t="s">
        <v>2117</v>
      </c>
      <c r="F381" s="4" t="s">
        <v>2118</v>
      </c>
      <c r="G381" s="12" t="s">
        <v>2119</v>
      </c>
      <c r="H381" s="12" t="s">
        <v>2120</v>
      </c>
      <c r="I381" s="4" t="s">
        <v>40</v>
      </c>
      <c r="J381" s="6" t="s">
        <v>41</v>
      </c>
      <c r="K381" s="8" t="s">
        <v>2121</v>
      </c>
      <c r="L381" s="8" t="s">
        <v>43</v>
      </c>
      <c r="M381" s="25" t="s">
        <v>121</v>
      </c>
      <c r="N381" s="25" t="s">
        <v>2122</v>
      </c>
      <c r="O381" s="12" t="s">
        <v>41</v>
      </c>
    </row>
    <row r="382" spans="1:15" ht="43.5" x14ac:dyDescent="0.35">
      <c r="A382" s="29">
        <v>70</v>
      </c>
      <c r="B382" s="7" t="s">
        <v>46</v>
      </c>
      <c r="C382" s="12" t="s">
        <v>1881</v>
      </c>
      <c r="D382" s="12" t="s">
        <v>2123</v>
      </c>
      <c r="E382" s="4" t="s">
        <v>2124</v>
      </c>
      <c r="F382" s="4" t="s">
        <v>2125</v>
      </c>
      <c r="G382" s="12" t="s">
        <v>2126</v>
      </c>
      <c r="H382" s="12" t="s">
        <v>2120</v>
      </c>
      <c r="I382" s="4" t="s">
        <v>40</v>
      </c>
      <c r="J382" s="6" t="s">
        <v>41</v>
      </c>
      <c r="K382" s="8" t="s">
        <v>2127</v>
      </c>
      <c r="L382" s="8" t="s">
        <v>43</v>
      </c>
      <c r="M382" s="25" t="s">
        <v>2128</v>
      </c>
      <c r="N382" s="25" t="s">
        <v>2129</v>
      </c>
      <c r="O382" s="12" t="s">
        <v>41</v>
      </c>
    </row>
    <row r="383" spans="1:15" ht="43.5" x14ac:dyDescent="0.35">
      <c r="A383" s="29">
        <v>828</v>
      </c>
      <c r="B383" s="7" t="s">
        <v>46</v>
      </c>
      <c r="C383" s="12" t="s">
        <v>1881</v>
      </c>
      <c r="D383" s="12" t="s">
        <v>2130</v>
      </c>
      <c r="E383" s="4" t="s">
        <v>2131</v>
      </c>
      <c r="F383" s="4" t="s">
        <v>2131</v>
      </c>
      <c r="G383" s="12" t="s">
        <v>2132</v>
      </c>
      <c r="H383" s="12" t="s">
        <v>2133</v>
      </c>
      <c r="I383" s="4" t="s">
        <v>40</v>
      </c>
      <c r="J383" s="6" t="s">
        <v>41</v>
      </c>
      <c r="K383" s="8" t="s">
        <v>2134</v>
      </c>
      <c r="L383" s="8" t="s">
        <v>59</v>
      </c>
      <c r="M383" s="25" t="s">
        <v>1885</v>
      </c>
      <c r="N383" s="25" t="s">
        <v>2135</v>
      </c>
      <c r="O383" s="12" t="s">
        <v>41</v>
      </c>
    </row>
    <row r="384" spans="1:15" ht="29" x14ac:dyDescent="0.35">
      <c r="A384" s="29">
        <v>101</v>
      </c>
      <c r="B384" s="7" t="s">
        <v>46</v>
      </c>
      <c r="C384" s="12" t="s">
        <v>1881</v>
      </c>
      <c r="D384" s="8" t="s">
        <v>2136</v>
      </c>
      <c r="E384" s="6" t="s">
        <v>2137</v>
      </c>
      <c r="F384" s="6" t="s">
        <v>2137</v>
      </c>
      <c r="G384" s="12" t="s">
        <v>2138</v>
      </c>
      <c r="H384" s="12" t="s">
        <v>2138</v>
      </c>
      <c r="I384" s="4" t="s">
        <v>40</v>
      </c>
      <c r="J384" s="6" t="s">
        <v>41</v>
      </c>
      <c r="K384" s="8" t="s">
        <v>2139</v>
      </c>
      <c r="L384" s="8" t="s">
        <v>103</v>
      </c>
      <c r="M384" s="25" t="s">
        <v>320</v>
      </c>
      <c r="N384" s="25" t="s">
        <v>2140</v>
      </c>
      <c r="O384" s="12" t="s">
        <v>41</v>
      </c>
    </row>
    <row r="385" spans="1:15" ht="43.5" x14ac:dyDescent="0.35">
      <c r="A385" s="29">
        <v>626</v>
      </c>
      <c r="B385" s="7" t="s">
        <v>46</v>
      </c>
      <c r="C385" s="12" t="s">
        <v>1881</v>
      </c>
      <c r="D385" s="12" t="s">
        <v>2141</v>
      </c>
      <c r="E385" s="4" t="s">
        <v>2142</v>
      </c>
      <c r="F385" s="4" t="s">
        <v>2142</v>
      </c>
      <c r="G385" s="12" t="s">
        <v>2143</v>
      </c>
      <c r="H385" s="12" t="s">
        <v>2144</v>
      </c>
      <c r="I385" s="4" t="s">
        <v>40</v>
      </c>
      <c r="J385" s="6" t="s">
        <v>41</v>
      </c>
      <c r="K385" s="8" t="s">
        <v>2145</v>
      </c>
      <c r="L385" s="8" t="s">
        <v>59</v>
      </c>
      <c r="M385" s="25" t="s">
        <v>1885</v>
      </c>
      <c r="N385" s="25" t="s">
        <v>2146</v>
      </c>
      <c r="O385" s="12" t="s">
        <v>41</v>
      </c>
    </row>
    <row r="386" spans="1:15" ht="43.5" x14ac:dyDescent="0.35">
      <c r="A386" s="33">
        <v>4289</v>
      </c>
      <c r="B386" s="7" t="s">
        <v>46</v>
      </c>
      <c r="C386" s="12" t="s">
        <v>1881</v>
      </c>
      <c r="D386" s="12" t="s">
        <v>2147</v>
      </c>
      <c r="E386" s="4" t="s">
        <v>2148</v>
      </c>
      <c r="F386" s="4" t="s">
        <v>2148</v>
      </c>
      <c r="G386" s="12" t="s">
        <v>2149</v>
      </c>
      <c r="H386" s="12" t="s">
        <v>2149</v>
      </c>
      <c r="I386" s="4" t="s">
        <v>40</v>
      </c>
      <c r="J386" s="6" t="s">
        <v>41</v>
      </c>
      <c r="K386" s="8" t="s">
        <v>2150</v>
      </c>
      <c r="L386" s="8" t="s">
        <v>82</v>
      </c>
      <c r="M386" s="25" t="s">
        <v>1885</v>
      </c>
      <c r="N386" s="25" t="s">
        <v>2151</v>
      </c>
      <c r="O386" s="12" t="s">
        <v>41</v>
      </c>
    </row>
    <row r="387" spans="1:15" ht="43.5" x14ac:dyDescent="0.35">
      <c r="A387" s="33">
        <v>625</v>
      </c>
      <c r="B387" s="7" t="s">
        <v>46</v>
      </c>
      <c r="C387" s="12" t="s">
        <v>1881</v>
      </c>
      <c r="D387" s="12" t="s">
        <v>2147</v>
      </c>
      <c r="E387" s="4" t="s">
        <v>2148</v>
      </c>
      <c r="F387" s="4" t="s">
        <v>2148</v>
      </c>
      <c r="G387" s="12" t="s">
        <v>2149</v>
      </c>
      <c r="H387" s="12" t="s">
        <v>2149</v>
      </c>
      <c r="I387" s="4" t="s">
        <v>40</v>
      </c>
      <c r="J387" s="6" t="s">
        <v>41</v>
      </c>
      <c r="K387" s="8" t="s">
        <v>2150</v>
      </c>
      <c r="L387" s="8" t="s">
        <v>82</v>
      </c>
      <c r="M387" s="25" t="s">
        <v>1885</v>
      </c>
      <c r="N387" s="25" t="s">
        <v>2151</v>
      </c>
      <c r="O387" s="12" t="s">
        <v>41</v>
      </c>
    </row>
    <row r="388" spans="1:15" ht="43.5" x14ac:dyDescent="0.35">
      <c r="A388" s="29">
        <v>627</v>
      </c>
      <c r="B388" s="7" t="s">
        <v>46</v>
      </c>
      <c r="C388" s="12" t="s">
        <v>1881</v>
      </c>
      <c r="D388" s="12" t="s">
        <v>2152</v>
      </c>
      <c r="E388" s="4" t="s">
        <v>2153</v>
      </c>
      <c r="F388" s="4" t="s">
        <v>2153</v>
      </c>
      <c r="G388" s="12" t="s">
        <v>2154</v>
      </c>
      <c r="H388" s="12" t="s">
        <v>2155</v>
      </c>
      <c r="I388" s="4" t="s">
        <v>40</v>
      </c>
      <c r="J388" s="6" t="s">
        <v>41</v>
      </c>
      <c r="K388" s="8" t="s">
        <v>2145</v>
      </c>
      <c r="L388" s="8" t="s">
        <v>59</v>
      </c>
      <c r="M388" s="25" t="s">
        <v>1885</v>
      </c>
      <c r="N388" s="25" t="s">
        <v>2156</v>
      </c>
      <c r="O388" s="12" t="s">
        <v>41</v>
      </c>
    </row>
    <row r="389" spans="1:15" ht="43.5" x14ac:dyDescent="0.35">
      <c r="A389" s="29">
        <v>624</v>
      </c>
      <c r="B389" s="7" t="s">
        <v>46</v>
      </c>
      <c r="C389" s="12" t="s">
        <v>1881</v>
      </c>
      <c r="D389" s="12" t="s">
        <v>2157</v>
      </c>
      <c r="E389" s="4" t="s">
        <v>2158</v>
      </c>
      <c r="F389" s="4" t="s">
        <v>2158</v>
      </c>
      <c r="G389" s="12" t="s">
        <v>2159</v>
      </c>
      <c r="H389" s="12" t="s">
        <v>2160</v>
      </c>
      <c r="I389" s="4" t="s">
        <v>40</v>
      </c>
      <c r="J389" s="6" t="s">
        <v>41</v>
      </c>
      <c r="K389" s="8" t="s">
        <v>2145</v>
      </c>
      <c r="L389" s="8" t="s">
        <v>59</v>
      </c>
      <c r="M389" s="25" t="s">
        <v>1885</v>
      </c>
      <c r="N389" s="25" t="s">
        <v>2161</v>
      </c>
      <c r="O389" s="12" t="s">
        <v>41</v>
      </c>
    </row>
    <row r="390" spans="1:15" x14ac:dyDescent="0.35">
      <c r="A390" s="29">
        <v>257</v>
      </c>
      <c r="B390" s="7" t="s">
        <v>46</v>
      </c>
      <c r="C390" s="12" t="s">
        <v>1881</v>
      </c>
      <c r="D390" s="12" t="s">
        <v>2162</v>
      </c>
      <c r="E390" s="4" t="s">
        <v>2163</v>
      </c>
      <c r="F390" s="4" t="s">
        <v>2163</v>
      </c>
      <c r="G390" s="12" t="s">
        <v>2164</v>
      </c>
      <c r="H390" s="12" t="s">
        <v>2164</v>
      </c>
      <c r="I390" s="4" t="s">
        <v>40</v>
      </c>
      <c r="J390" s="6" t="s">
        <v>41</v>
      </c>
      <c r="K390" s="8" t="s">
        <v>111</v>
      </c>
      <c r="L390" s="8" t="s">
        <v>103</v>
      </c>
      <c r="M390" s="25" t="s">
        <v>1910</v>
      </c>
      <c r="N390" s="25" t="s">
        <v>1246</v>
      </c>
      <c r="O390" s="12" t="s">
        <v>2165</v>
      </c>
    </row>
    <row r="391" spans="1:15" ht="58" x14ac:dyDescent="0.35">
      <c r="A391" s="29">
        <v>528</v>
      </c>
      <c r="B391" s="7" t="s">
        <v>46</v>
      </c>
      <c r="C391" s="12" t="s">
        <v>1336</v>
      </c>
      <c r="D391" s="12" t="s">
        <v>2166</v>
      </c>
      <c r="E391" s="4" t="s">
        <v>2167</v>
      </c>
      <c r="F391" s="4" t="s">
        <v>2167</v>
      </c>
      <c r="G391" s="12" t="s">
        <v>2168</v>
      </c>
      <c r="H391" s="12" t="s">
        <v>2169</v>
      </c>
      <c r="I391" s="4" t="s">
        <v>2170</v>
      </c>
      <c r="J391" s="6" t="s">
        <v>2171</v>
      </c>
      <c r="K391" s="8" t="s">
        <v>2172</v>
      </c>
      <c r="L391" s="8" t="s">
        <v>82</v>
      </c>
      <c r="M391" s="25" t="s">
        <v>60</v>
      </c>
      <c r="N391" s="25" t="s">
        <v>2173</v>
      </c>
      <c r="O391" s="12" t="s">
        <v>2174</v>
      </c>
    </row>
    <row r="392" spans="1:15" ht="58" x14ac:dyDescent="0.35">
      <c r="A392" s="29">
        <v>565</v>
      </c>
      <c r="B392" s="7" t="s">
        <v>46</v>
      </c>
      <c r="C392" s="12" t="s">
        <v>1336</v>
      </c>
      <c r="D392" s="12" t="s">
        <v>2175</v>
      </c>
      <c r="E392" s="4" t="s">
        <v>2176</v>
      </c>
      <c r="F392" s="4" t="s">
        <v>2176</v>
      </c>
      <c r="G392" s="12" t="s">
        <v>2177</v>
      </c>
      <c r="H392" s="12" t="s">
        <v>2169</v>
      </c>
      <c r="I392" s="4" t="s">
        <v>2170</v>
      </c>
      <c r="J392" s="6" t="s">
        <v>2171</v>
      </c>
      <c r="K392" s="8" t="s">
        <v>2178</v>
      </c>
      <c r="L392" s="8" t="s">
        <v>82</v>
      </c>
      <c r="M392" s="25" t="s">
        <v>60</v>
      </c>
      <c r="N392" s="25" t="s">
        <v>868</v>
      </c>
      <c r="O392" s="12" t="s">
        <v>2174</v>
      </c>
    </row>
    <row r="393" spans="1:15" ht="58" x14ac:dyDescent="0.35">
      <c r="A393" s="29" t="s">
        <v>41</v>
      </c>
      <c r="B393" s="7" t="s">
        <v>46</v>
      </c>
      <c r="C393" s="12" t="s">
        <v>1336</v>
      </c>
      <c r="D393" s="12" t="s">
        <v>2179</v>
      </c>
      <c r="E393" s="4" t="s">
        <v>2180</v>
      </c>
      <c r="F393" s="4" t="s">
        <v>2181</v>
      </c>
      <c r="G393" s="12" t="s">
        <v>2182</v>
      </c>
      <c r="H393" s="12" t="s">
        <v>2169</v>
      </c>
      <c r="I393" s="4" t="s">
        <v>2170</v>
      </c>
      <c r="J393" s="6" t="s">
        <v>2171</v>
      </c>
      <c r="K393" s="8" t="s">
        <v>2183</v>
      </c>
      <c r="L393" s="8" t="s">
        <v>43</v>
      </c>
      <c r="M393" s="25" t="s">
        <v>60</v>
      </c>
      <c r="N393" s="25" t="s">
        <v>2184</v>
      </c>
      <c r="O393" s="12" t="s">
        <v>2174</v>
      </c>
    </row>
    <row r="394" spans="1:15" ht="58" x14ac:dyDescent="0.35">
      <c r="A394" s="29" t="s">
        <v>41</v>
      </c>
      <c r="B394" s="7" t="s">
        <v>46</v>
      </c>
      <c r="C394" s="12" t="s">
        <v>1336</v>
      </c>
      <c r="D394" s="8" t="s">
        <v>2185</v>
      </c>
      <c r="E394" s="6" t="s">
        <v>2186</v>
      </c>
      <c r="F394" s="6" t="s">
        <v>2187</v>
      </c>
      <c r="G394" s="12" t="s">
        <v>2188</v>
      </c>
      <c r="H394" s="12" t="s">
        <v>2169</v>
      </c>
      <c r="I394" s="4" t="s">
        <v>2170</v>
      </c>
      <c r="J394" s="6" t="s">
        <v>2171</v>
      </c>
      <c r="K394" s="8" t="s">
        <v>2189</v>
      </c>
      <c r="L394" s="8" t="s">
        <v>43</v>
      </c>
      <c r="M394" s="25" t="s">
        <v>60</v>
      </c>
      <c r="N394" s="25" t="s">
        <v>858</v>
      </c>
      <c r="O394" s="12" t="s">
        <v>2174</v>
      </c>
    </row>
    <row r="395" spans="1:15" ht="58" x14ac:dyDescent="0.35">
      <c r="A395" s="29" t="s">
        <v>41</v>
      </c>
      <c r="B395" s="7" t="s">
        <v>46</v>
      </c>
      <c r="C395" s="12" t="s">
        <v>1336</v>
      </c>
      <c r="D395" s="8" t="s">
        <v>2190</v>
      </c>
      <c r="E395" s="6" t="s">
        <v>2191</v>
      </c>
      <c r="F395" s="6" t="s">
        <v>2192</v>
      </c>
      <c r="G395" s="12" t="s">
        <v>2193</v>
      </c>
      <c r="H395" s="12" t="s">
        <v>2169</v>
      </c>
      <c r="I395" s="4" t="s">
        <v>2170</v>
      </c>
      <c r="J395" s="6" t="s">
        <v>2171</v>
      </c>
      <c r="K395" s="8" t="s">
        <v>2194</v>
      </c>
      <c r="L395" s="8" t="s">
        <v>43</v>
      </c>
      <c r="M395" s="25" t="s">
        <v>60</v>
      </c>
      <c r="N395" s="25" t="s">
        <v>76</v>
      </c>
      <c r="O395" s="12" t="s">
        <v>2174</v>
      </c>
    </row>
    <row r="396" spans="1:15" ht="58" x14ac:dyDescent="0.35">
      <c r="A396" s="29" t="s">
        <v>41</v>
      </c>
      <c r="B396" s="7" t="s">
        <v>46</v>
      </c>
      <c r="C396" s="12" t="s">
        <v>1336</v>
      </c>
      <c r="D396" s="12" t="s">
        <v>2195</v>
      </c>
      <c r="E396" s="4" t="s">
        <v>2196</v>
      </c>
      <c r="F396" s="4" t="s">
        <v>2197</v>
      </c>
      <c r="G396" s="12" t="s">
        <v>2198</v>
      </c>
      <c r="H396" s="12" t="s">
        <v>2169</v>
      </c>
      <c r="I396" s="4" t="s">
        <v>2170</v>
      </c>
      <c r="J396" s="6" t="s">
        <v>2171</v>
      </c>
      <c r="K396" s="8" t="s">
        <v>2199</v>
      </c>
      <c r="L396" s="8" t="s">
        <v>82</v>
      </c>
      <c r="M396" s="25" t="s">
        <v>60</v>
      </c>
      <c r="N396" s="25" t="s">
        <v>61</v>
      </c>
      <c r="O396" s="12" t="s">
        <v>2174</v>
      </c>
    </row>
    <row r="397" spans="1:15" ht="58" x14ac:dyDescent="0.35">
      <c r="A397" s="29">
        <v>268</v>
      </c>
      <c r="B397" s="7" t="s">
        <v>33</v>
      </c>
      <c r="C397" s="12" t="s">
        <v>176</v>
      </c>
      <c r="D397" s="12" t="s">
        <v>2200</v>
      </c>
      <c r="E397" s="4" t="s">
        <v>2201</v>
      </c>
      <c r="F397" s="4" t="s">
        <v>2201</v>
      </c>
      <c r="G397" s="12" t="s">
        <v>2202</v>
      </c>
      <c r="H397" s="12" t="s">
        <v>2202</v>
      </c>
      <c r="I397" s="4" t="s">
        <v>40</v>
      </c>
      <c r="J397" s="6" t="s">
        <v>41</v>
      </c>
      <c r="K397" s="8" t="s">
        <v>2203</v>
      </c>
      <c r="L397" s="8" t="s">
        <v>103</v>
      </c>
      <c r="M397" s="25" t="s">
        <v>2204</v>
      </c>
      <c r="N397" s="25" t="s">
        <v>2205</v>
      </c>
      <c r="O397" s="12" t="s">
        <v>41</v>
      </c>
    </row>
    <row r="398" spans="1:15" ht="43.5" x14ac:dyDescent="0.35">
      <c r="A398" s="29">
        <v>413</v>
      </c>
      <c r="B398" s="7" t="s">
        <v>46</v>
      </c>
      <c r="C398" s="12" t="s">
        <v>1113</v>
      </c>
      <c r="D398" s="12" t="s">
        <v>2206</v>
      </c>
      <c r="E398" s="4" t="s">
        <v>2207</v>
      </c>
      <c r="F398" s="4" t="s">
        <v>2207</v>
      </c>
      <c r="G398" s="12" t="s">
        <v>2208</v>
      </c>
      <c r="H398" s="12" t="s">
        <v>2208</v>
      </c>
      <c r="I398" s="4" t="s">
        <v>40</v>
      </c>
      <c r="J398" s="6" t="s">
        <v>41</v>
      </c>
      <c r="K398" s="8" t="s">
        <v>2209</v>
      </c>
      <c r="L398" s="8" t="s">
        <v>59</v>
      </c>
      <c r="M398" s="25" t="s">
        <v>1117</v>
      </c>
      <c r="N398" s="25" t="s">
        <v>2210</v>
      </c>
      <c r="O398" s="12" t="s">
        <v>41</v>
      </c>
    </row>
    <row r="399" spans="1:15" ht="43.5" x14ac:dyDescent="0.35">
      <c r="A399" s="29">
        <v>46</v>
      </c>
      <c r="B399" s="7" t="s">
        <v>46</v>
      </c>
      <c r="C399" s="12" t="s">
        <v>1113</v>
      </c>
      <c r="D399" s="12" t="s">
        <v>2211</v>
      </c>
      <c r="E399" s="4" t="s">
        <v>2212</v>
      </c>
      <c r="F399" s="4" t="s">
        <v>2213</v>
      </c>
      <c r="G399" s="12" t="s">
        <v>2214</v>
      </c>
      <c r="H399" s="12" t="s">
        <v>2215</v>
      </c>
      <c r="I399" s="4" t="s">
        <v>40</v>
      </c>
      <c r="J399" s="6" t="s">
        <v>41</v>
      </c>
      <c r="K399" s="8" t="s">
        <v>2216</v>
      </c>
      <c r="L399" s="8" t="s">
        <v>103</v>
      </c>
      <c r="M399" s="25" t="s">
        <v>2217</v>
      </c>
      <c r="N399" s="25" t="s">
        <v>2218</v>
      </c>
      <c r="O399" s="12" t="s">
        <v>41</v>
      </c>
    </row>
    <row r="400" spans="1:15" ht="58" x14ac:dyDescent="0.35">
      <c r="A400" s="29">
        <v>279</v>
      </c>
      <c r="B400" s="7" t="s">
        <v>33</v>
      </c>
      <c r="C400" s="12" t="s">
        <v>1113</v>
      </c>
      <c r="D400" s="12" t="s">
        <v>2219</v>
      </c>
      <c r="E400" s="4" t="s">
        <v>2220</v>
      </c>
      <c r="F400" s="4" t="s">
        <v>2220</v>
      </c>
      <c r="G400" s="12" t="s">
        <v>2221</v>
      </c>
      <c r="H400" s="12" t="s">
        <v>2221</v>
      </c>
      <c r="I400" s="4" t="s">
        <v>40</v>
      </c>
      <c r="J400" s="6" t="s">
        <v>41</v>
      </c>
      <c r="K400" s="8" t="s">
        <v>2222</v>
      </c>
      <c r="L400" s="8" t="s">
        <v>103</v>
      </c>
      <c r="M400" s="25" t="s">
        <v>2204</v>
      </c>
      <c r="N400" s="25" t="s">
        <v>2223</v>
      </c>
      <c r="O400" s="12" t="s">
        <v>41</v>
      </c>
    </row>
    <row r="401" spans="1:15" ht="29" x14ac:dyDescent="0.35">
      <c r="A401" s="29">
        <v>252</v>
      </c>
      <c r="B401" s="7" t="s">
        <v>46</v>
      </c>
      <c r="C401" s="12" t="s">
        <v>1113</v>
      </c>
      <c r="D401" s="12" t="s">
        <v>2224</v>
      </c>
      <c r="E401" s="4" t="s">
        <v>2225</v>
      </c>
      <c r="F401" s="4" t="s">
        <v>2226</v>
      </c>
      <c r="G401" s="12" t="s">
        <v>2227</v>
      </c>
      <c r="H401" s="12" t="s">
        <v>2228</v>
      </c>
      <c r="I401" s="4" t="s">
        <v>40</v>
      </c>
      <c r="J401" s="6" t="s">
        <v>41</v>
      </c>
      <c r="K401" s="8" t="s">
        <v>111</v>
      </c>
      <c r="L401" s="8" t="s">
        <v>103</v>
      </c>
      <c r="M401" s="25" t="s">
        <v>2229</v>
      </c>
      <c r="N401" s="25" t="s">
        <v>2230</v>
      </c>
      <c r="O401" s="12" t="s">
        <v>41</v>
      </c>
    </row>
    <row r="402" spans="1:15" ht="43.5" x14ac:dyDescent="0.35">
      <c r="A402" s="29">
        <v>501</v>
      </c>
      <c r="B402" s="7" t="s">
        <v>46</v>
      </c>
      <c r="C402" s="12" t="s">
        <v>1113</v>
      </c>
      <c r="D402" s="12" t="s">
        <v>2231</v>
      </c>
      <c r="E402" s="4" t="s">
        <v>2232</v>
      </c>
      <c r="F402" s="4" t="s">
        <v>2232</v>
      </c>
      <c r="G402" s="12" t="s">
        <v>2233</v>
      </c>
      <c r="H402" s="12" t="s">
        <v>2234</v>
      </c>
      <c r="I402" s="4" t="s">
        <v>40</v>
      </c>
      <c r="J402" s="6" t="s">
        <v>41</v>
      </c>
      <c r="K402" s="8" t="s">
        <v>2235</v>
      </c>
      <c r="L402" s="8" t="s">
        <v>43</v>
      </c>
      <c r="M402" s="25" t="s">
        <v>1117</v>
      </c>
      <c r="N402" s="25" t="s">
        <v>2236</v>
      </c>
      <c r="O402" s="12" t="s">
        <v>41</v>
      </c>
    </row>
    <row r="403" spans="1:15" x14ac:dyDescent="0.35">
      <c r="A403" s="29">
        <v>45</v>
      </c>
      <c r="B403" s="7" t="s">
        <v>46</v>
      </c>
      <c r="C403" s="12" t="s">
        <v>1113</v>
      </c>
      <c r="D403" s="12" t="s">
        <v>2237</v>
      </c>
      <c r="E403" s="4" t="s">
        <v>2238</v>
      </c>
      <c r="F403" s="4" t="s">
        <v>2239</v>
      </c>
      <c r="G403" s="12" t="s">
        <v>2240</v>
      </c>
      <c r="H403" s="12" t="s">
        <v>2241</v>
      </c>
      <c r="I403" s="4" t="s">
        <v>40</v>
      </c>
      <c r="J403" s="6" t="s">
        <v>41</v>
      </c>
      <c r="K403" s="8" t="s">
        <v>111</v>
      </c>
      <c r="L403" s="8" t="s">
        <v>103</v>
      </c>
      <c r="M403" s="25" t="s">
        <v>2242</v>
      </c>
      <c r="N403" s="25" t="s">
        <v>2243</v>
      </c>
      <c r="O403" s="12" t="s">
        <v>41</v>
      </c>
    </row>
    <row r="404" spans="1:15" ht="43.5" x14ac:dyDescent="0.35">
      <c r="A404" s="29">
        <v>44</v>
      </c>
      <c r="B404" s="7" t="s">
        <v>46</v>
      </c>
      <c r="C404" s="12" t="s">
        <v>1113</v>
      </c>
      <c r="D404" s="12" t="s">
        <v>2244</v>
      </c>
      <c r="E404" s="4" t="s">
        <v>2245</v>
      </c>
      <c r="F404" s="4" t="s">
        <v>2246</v>
      </c>
      <c r="G404" s="12" t="s">
        <v>2247</v>
      </c>
      <c r="H404" s="12" t="s">
        <v>2248</v>
      </c>
      <c r="I404" s="4" t="s">
        <v>40</v>
      </c>
      <c r="J404" s="6" t="s">
        <v>41</v>
      </c>
      <c r="K404" s="8" t="s">
        <v>2249</v>
      </c>
      <c r="L404" s="8" t="s">
        <v>103</v>
      </c>
      <c r="M404" s="25" t="s">
        <v>1232</v>
      </c>
      <c r="N404" s="25" t="s">
        <v>2250</v>
      </c>
      <c r="O404" s="12" t="s">
        <v>41</v>
      </c>
    </row>
    <row r="405" spans="1:15" ht="29" x14ac:dyDescent="0.35">
      <c r="A405" s="29">
        <v>253</v>
      </c>
      <c r="B405" s="7" t="s">
        <v>46</v>
      </c>
      <c r="C405" s="12" t="s">
        <v>1113</v>
      </c>
      <c r="D405" s="12" t="s">
        <v>2251</v>
      </c>
      <c r="E405" s="4" t="s">
        <v>1236</v>
      </c>
      <c r="F405" s="4" t="s">
        <v>1236</v>
      </c>
      <c r="G405" s="12" t="s">
        <v>31</v>
      </c>
      <c r="H405" s="12" t="s">
        <v>2252</v>
      </c>
      <c r="I405" s="4" t="s">
        <v>40</v>
      </c>
      <c r="J405" s="6" t="s">
        <v>41</v>
      </c>
      <c r="K405" s="8" t="s">
        <v>2253</v>
      </c>
      <c r="L405" s="8" t="s">
        <v>103</v>
      </c>
      <c r="M405" s="25" t="s">
        <v>2229</v>
      </c>
      <c r="N405" s="25" t="s">
        <v>2254</v>
      </c>
      <c r="O405" s="12" t="s">
        <v>41</v>
      </c>
    </row>
    <row r="406" spans="1:15" ht="58" x14ac:dyDescent="0.35">
      <c r="A406" s="37">
        <v>278</v>
      </c>
      <c r="B406" s="11" t="s">
        <v>33</v>
      </c>
      <c r="C406" s="23" t="s">
        <v>1113</v>
      </c>
      <c r="D406" s="23" t="s">
        <v>2255</v>
      </c>
      <c r="E406" s="9" t="s">
        <v>2256</v>
      </c>
      <c r="F406" s="9" t="s">
        <v>2256</v>
      </c>
      <c r="G406" s="23" t="s">
        <v>2257</v>
      </c>
      <c r="H406" s="23" t="s">
        <v>2257</v>
      </c>
      <c r="I406" s="9" t="s">
        <v>40</v>
      </c>
      <c r="J406" s="10" t="s">
        <v>41</v>
      </c>
      <c r="K406" s="36" t="s">
        <v>2258</v>
      </c>
      <c r="L406" s="36" t="s">
        <v>103</v>
      </c>
      <c r="M406" s="35" t="s">
        <v>2204</v>
      </c>
      <c r="N406" s="35" t="s">
        <v>2259</v>
      </c>
      <c r="O406" s="23" t="s">
        <v>41</v>
      </c>
    </row>
    <row r="407" spans="1:15" x14ac:dyDescent="0.35">
      <c r="A407" s="29">
        <v>35</v>
      </c>
      <c r="B407" s="120"/>
      <c r="C407" s="112" t="s">
        <v>34</v>
      </c>
      <c r="D407" s="112" t="s">
        <v>2260</v>
      </c>
      <c r="E407" s="114" t="s">
        <v>1164</v>
      </c>
      <c r="F407" s="114" t="s">
        <v>2261</v>
      </c>
      <c r="G407" s="112" t="s">
        <v>2262</v>
      </c>
      <c r="H407" s="112" t="s">
        <v>2263</v>
      </c>
      <c r="I407" s="114" t="s">
        <v>460</v>
      </c>
      <c r="J407" s="116" t="s">
        <v>470</v>
      </c>
      <c r="K407" s="118" t="s">
        <v>2264</v>
      </c>
      <c r="L407" s="118" t="s">
        <v>67</v>
      </c>
      <c r="M407" s="122" t="s">
        <v>525</v>
      </c>
      <c r="N407" s="122" t="s">
        <v>1164</v>
      </c>
      <c r="O407" s="112" t="s">
        <v>41</v>
      </c>
    </row>
    <row r="408" spans="1:15" x14ac:dyDescent="0.35">
      <c r="A408" s="29">
        <v>36</v>
      </c>
      <c r="B408" s="120"/>
      <c r="C408" s="112" t="s">
        <v>34</v>
      </c>
      <c r="D408" s="112" t="s">
        <v>2260</v>
      </c>
      <c r="E408" s="114" t="s">
        <v>1164</v>
      </c>
      <c r="F408" s="114" t="s">
        <v>2261</v>
      </c>
      <c r="G408" s="112" t="s">
        <v>2262</v>
      </c>
      <c r="H408" s="112" t="s">
        <v>2263</v>
      </c>
      <c r="I408" s="114" t="s">
        <v>460</v>
      </c>
      <c r="J408" s="116" t="s">
        <v>470</v>
      </c>
      <c r="K408" s="118" t="s">
        <v>2264</v>
      </c>
      <c r="L408" s="118" t="s">
        <v>67</v>
      </c>
      <c r="M408" s="122" t="s">
        <v>525</v>
      </c>
      <c r="N408" s="122" t="s">
        <v>1164</v>
      </c>
      <c r="O408" s="112" t="s">
        <v>41</v>
      </c>
    </row>
    <row r="409" spans="1:15" x14ac:dyDescent="0.35">
      <c r="A409" s="29">
        <v>39</v>
      </c>
      <c r="B409" s="120"/>
      <c r="C409" s="112" t="s">
        <v>34</v>
      </c>
      <c r="D409" s="112" t="s">
        <v>2260</v>
      </c>
      <c r="E409" s="114" t="s">
        <v>1164</v>
      </c>
      <c r="F409" s="114" t="s">
        <v>2261</v>
      </c>
      <c r="G409" s="112" t="s">
        <v>2262</v>
      </c>
      <c r="H409" s="112" t="s">
        <v>2263</v>
      </c>
      <c r="I409" s="114" t="s">
        <v>460</v>
      </c>
      <c r="J409" s="116" t="s">
        <v>470</v>
      </c>
      <c r="K409" s="118" t="s">
        <v>2264</v>
      </c>
      <c r="L409" s="118" t="s">
        <v>67</v>
      </c>
      <c r="M409" s="122" t="s">
        <v>525</v>
      </c>
      <c r="N409" s="122" t="s">
        <v>1164</v>
      </c>
      <c r="O409" s="112" t="s">
        <v>41</v>
      </c>
    </row>
    <row r="410" spans="1:15" x14ac:dyDescent="0.35">
      <c r="A410" s="29">
        <v>40</v>
      </c>
      <c r="B410" s="120"/>
      <c r="C410" s="112" t="s">
        <v>34</v>
      </c>
      <c r="D410" s="112" t="s">
        <v>2260</v>
      </c>
      <c r="E410" s="114" t="s">
        <v>1164</v>
      </c>
      <c r="F410" s="114" t="s">
        <v>2261</v>
      </c>
      <c r="G410" s="112" t="s">
        <v>2262</v>
      </c>
      <c r="H410" s="112" t="s">
        <v>2263</v>
      </c>
      <c r="I410" s="114" t="s">
        <v>460</v>
      </c>
      <c r="J410" s="116" t="s">
        <v>470</v>
      </c>
      <c r="K410" s="118" t="s">
        <v>2264</v>
      </c>
      <c r="L410" s="118" t="s">
        <v>67</v>
      </c>
      <c r="M410" s="122" t="s">
        <v>525</v>
      </c>
      <c r="N410" s="122" t="s">
        <v>1164</v>
      </c>
      <c r="O410" s="112" t="s">
        <v>41</v>
      </c>
    </row>
    <row r="411" spans="1:15" x14ac:dyDescent="0.35">
      <c r="A411" s="29">
        <v>71</v>
      </c>
      <c r="B411" s="120"/>
      <c r="C411" s="112" t="s">
        <v>34</v>
      </c>
      <c r="D411" s="112" t="s">
        <v>2260</v>
      </c>
      <c r="E411" s="114" t="s">
        <v>1164</v>
      </c>
      <c r="F411" s="114" t="s">
        <v>2261</v>
      </c>
      <c r="G411" s="112" t="s">
        <v>2262</v>
      </c>
      <c r="H411" s="112" t="s">
        <v>2263</v>
      </c>
      <c r="I411" s="114" t="s">
        <v>460</v>
      </c>
      <c r="J411" s="116" t="s">
        <v>470</v>
      </c>
      <c r="K411" s="118" t="s">
        <v>2264</v>
      </c>
      <c r="L411" s="118" t="s">
        <v>67</v>
      </c>
      <c r="M411" s="122" t="s">
        <v>525</v>
      </c>
      <c r="N411" s="122" t="s">
        <v>1164</v>
      </c>
      <c r="O411" s="112" t="s">
        <v>41</v>
      </c>
    </row>
    <row r="412" spans="1:15" x14ac:dyDescent="0.35">
      <c r="A412" s="29">
        <v>107</v>
      </c>
      <c r="B412" s="120"/>
      <c r="C412" s="112" t="s">
        <v>34</v>
      </c>
      <c r="D412" s="112" t="s">
        <v>2260</v>
      </c>
      <c r="E412" s="114" t="s">
        <v>1164</v>
      </c>
      <c r="F412" s="114" t="s">
        <v>2261</v>
      </c>
      <c r="G412" s="112" t="s">
        <v>2262</v>
      </c>
      <c r="H412" s="112" t="s">
        <v>2263</v>
      </c>
      <c r="I412" s="114" t="s">
        <v>460</v>
      </c>
      <c r="J412" s="116" t="s">
        <v>470</v>
      </c>
      <c r="K412" s="118" t="s">
        <v>2264</v>
      </c>
      <c r="L412" s="118" t="s">
        <v>67</v>
      </c>
      <c r="M412" s="122" t="s">
        <v>525</v>
      </c>
      <c r="N412" s="122" t="s">
        <v>1164</v>
      </c>
      <c r="O412" s="112" t="s">
        <v>41</v>
      </c>
    </row>
    <row r="413" spans="1:15" x14ac:dyDescent="0.35">
      <c r="A413" s="29">
        <v>124</v>
      </c>
      <c r="B413" s="120"/>
      <c r="C413" s="112" t="s">
        <v>34</v>
      </c>
      <c r="D413" s="112" t="s">
        <v>2260</v>
      </c>
      <c r="E413" s="114" t="s">
        <v>1164</v>
      </c>
      <c r="F413" s="114" t="s">
        <v>2261</v>
      </c>
      <c r="G413" s="112" t="s">
        <v>2262</v>
      </c>
      <c r="H413" s="112" t="s">
        <v>2263</v>
      </c>
      <c r="I413" s="114" t="s">
        <v>460</v>
      </c>
      <c r="J413" s="116" t="s">
        <v>470</v>
      </c>
      <c r="K413" s="118" t="s">
        <v>2264</v>
      </c>
      <c r="L413" s="118" t="s">
        <v>67</v>
      </c>
      <c r="M413" s="122" t="s">
        <v>525</v>
      </c>
      <c r="N413" s="122" t="s">
        <v>1164</v>
      </c>
      <c r="O413" s="112" t="s">
        <v>41</v>
      </c>
    </row>
    <row r="414" spans="1:15" x14ac:dyDescent="0.35">
      <c r="A414" s="29">
        <v>125</v>
      </c>
      <c r="B414" s="120"/>
      <c r="C414" s="112" t="s">
        <v>34</v>
      </c>
      <c r="D414" s="112" t="s">
        <v>2260</v>
      </c>
      <c r="E414" s="114" t="s">
        <v>1164</v>
      </c>
      <c r="F414" s="114" t="s">
        <v>2261</v>
      </c>
      <c r="G414" s="112" t="s">
        <v>2262</v>
      </c>
      <c r="H414" s="112" t="s">
        <v>2263</v>
      </c>
      <c r="I414" s="114" t="s">
        <v>460</v>
      </c>
      <c r="J414" s="116" t="s">
        <v>470</v>
      </c>
      <c r="K414" s="118" t="s">
        <v>2264</v>
      </c>
      <c r="L414" s="118" t="s">
        <v>67</v>
      </c>
      <c r="M414" s="122" t="s">
        <v>525</v>
      </c>
      <c r="N414" s="122" t="s">
        <v>1164</v>
      </c>
      <c r="O414" s="112" t="s">
        <v>41</v>
      </c>
    </row>
    <row r="415" spans="1:15" x14ac:dyDescent="0.35">
      <c r="A415" s="29">
        <v>132</v>
      </c>
      <c r="B415" s="120"/>
      <c r="C415" s="112" t="s">
        <v>34</v>
      </c>
      <c r="D415" s="112" t="s">
        <v>2260</v>
      </c>
      <c r="E415" s="114" t="s">
        <v>1164</v>
      </c>
      <c r="F415" s="114" t="s">
        <v>2261</v>
      </c>
      <c r="G415" s="112" t="s">
        <v>2262</v>
      </c>
      <c r="H415" s="112" t="s">
        <v>2263</v>
      </c>
      <c r="I415" s="114" t="s">
        <v>460</v>
      </c>
      <c r="J415" s="116" t="s">
        <v>470</v>
      </c>
      <c r="K415" s="118" t="s">
        <v>2264</v>
      </c>
      <c r="L415" s="118" t="s">
        <v>67</v>
      </c>
      <c r="M415" s="122" t="s">
        <v>525</v>
      </c>
      <c r="N415" s="122" t="s">
        <v>1164</v>
      </c>
      <c r="O415" s="112" t="s">
        <v>41</v>
      </c>
    </row>
    <row r="416" spans="1:15" x14ac:dyDescent="0.35">
      <c r="A416" s="29">
        <v>133</v>
      </c>
      <c r="B416" s="120"/>
      <c r="C416" s="112" t="s">
        <v>34</v>
      </c>
      <c r="D416" s="112" t="s">
        <v>2260</v>
      </c>
      <c r="E416" s="114" t="s">
        <v>1164</v>
      </c>
      <c r="F416" s="114" t="s">
        <v>2261</v>
      </c>
      <c r="G416" s="112" t="s">
        <v>2262</v>
      </c>
      <c r="H416" s="112" t="s">
        <v>2263</v>
      </c>
      <c r="I416" s="114" t="s">
        <v>460</v>
      </c>
      <c r="J416" s="116" t="s">
        <v>470</v>
      </c>
      <c r="K416" s="118" t="s">
        <v>2264</v>
      </c>
      <c r="L416" s="118" t="s">
        <v>67</v>
      </c>
      <c r="M416" s="122" t="s">
        <v>525</v>
      </c>
      <c r="N416" s="122" t="s">
        <v>1164</v>
      </c>
      <c r="O416" s="112" t="s">
        <v>41</v>
      </c>
    </row>
    <row r="417" spans="1:15" x14ac:dyDescent="0.35">
      <c r="A417" s="29">
        <v>134</v>
      </c>
      <c r="B417" s="120"/>
      <c r="C417" s="112" t="s">
        <v>34</v>
      </c>
      <c r="D417" s="112" t="s">
        <v>2260</v>
      </c>
      <c r="E417" s="114" t="s">
        <v>1164</v>
      </c>
      <c r="F417" s="114" t="s">
        <v>2261</v>
      </c>
      <c r="G417" s="112" t="s">
        <v>2262</v>
      </c>
      <c r="H417" s="112" t="s">
        <v>2263</v>
      </c>
      <c r="I417" s="114" t="s">
        <v>460</v>
      </c>
      <c r="J417" s="116" t="s">
        <v>470</v>
      </c>
      <c r="K417" s="118" t="s">
        <v>2264</v>
      </c>
      <c r="L417" s="118" t="s">
        <v>67</v>
      </c>
      <c r="M417" s="122" t="s">
        <v>525</v>
      </c>
      <c r="N417" s="122" t="s">
        <v>1164</v>
      </c>
      <c r="O417" s="112" t="s">
        <v>41</v>
      </c>
    </row>
    <row r="418" spans="1:15" x14ac:dyDescent="0.35">
      <c r="A418" s="29">
        <v>136</v>
      </c>
      <c r="B418" s="120"/>
      <c r="C418" s="112" t="s">
        <v>34</v>
      </c>
      <c r="D418" s="112" t="s">
        <v>2260</v>
      </c>
      <c r="E418" s="114" t="s">
        <v>1164</v>
      </c>
      <c r="F418" s="114" t="s">
        <v>2261</v>
      </c>
      <c r="G418" s="112" t="s">
        <v>2262</v>
      </c>
      <c r="H418" s="112" t="s">
        <v>2263</v>
      </c>
      <c r="I418" s="114" t="s">
        <v>460</v>
      </c>
      <c r="J418" s="116" t="s">
        <v>470</v>
      </c>
      <c r="K418" s="118" t="s">
        <v>2264</v>
      </c>
      <c r="L418" s="118" t="s">
        <v>67</v>
      </c>
      <c r="M418" s="122" t="s">
        <v>525</v>
      </c>
      <c r="N418" s="122" t="s">
        <v>1164</v>
      </c>
      <c r="O418" s="112" t="s">
        <v>41</v>
      </c>
    </row>
    <row r="419" spans="1:15" x14ac:dyDescent="0.35">
      <c r="A419" s="29">
        <v>137</v>
      </c>
      <c r="B419" s="120"/>
      <c r="C419" s="112" t="s">
        <v>34</v>
      </c>
      <c r="D419" s="112" t="s">
        <v>2260</v>
      </c>
      <c r="E419" s="114" t="s">
        <v>1164</v>
      </c>
      <c r="F419" s="114" t="s">
        <v>2261</v>
      </c>
      <c r="G419" s="112" t="s">
        <v>2262</v>
      </c>
      <c r="H419" s="112" t="s">
        <v>2263</v>
      </c>
      <c r="I419" s="114" t="s">
        <v>460</v>
      </c>
      <c r="J419" s="116" t="s">
        <v>470</v>
      </c>
      <c r="K419" s="118" t="s">
        <v>2264</v>
      </c>
      <c r="L419" s="118" t="s">
        <v>67</v>
      </c>
      <c r="M419" s="122" t="s">
        <v>525</v>
      </c>
      <c r="N419" s="122" t="s">
        <v>1164</v>
      </c>
      <c r="O419" s="112" t="s">
        <v>41</v>
      </c>
    </row>
    <row r="420" spans="1:15" x14ac:dyDescent="0.35">
      <c r="A420" s="29">
        <v>138</v>
      </c>
      <c r="B420" s="120"/>
      <c r="C420" s="112" t="s">
        <v>34</v>
      </c>
      <c r="D420" s="112" t="s">
        <v>2260</v>
      </c>
      <c r="E420" s="114" t="s">
        <v>1164</v>
      </c>
      <c r="F420" s="114" t="s">
        <v>2261</v>
      </c>
      <c r="G420" s="112" t="s">
        <v>2262</v>
      </c>
      <c r="H420" s="112" t="s">
        <v>2263</v>
      </c>
      <c r="I420" s="114" t="s">
        <v>460</v>
      </c>
      <c r="J420" s="116" t="s">
        <v>470</v>
      </c>
      <c r="K420" s="118" t="s">
        <v>2264</v>
      </c>
      <c r="L420" s="118" t="s">
        <v>67</v>
      </c>
      <c r="M420" s="122" t="s">
        <v>525</v>
      </c>
      <c r="N420" s="122" t="s">
        <v>1164</v>
      </c>
      <c r="O420" s="112" t="s">
        <v>41</v>
      </c>
    </row>
    <row r="421" spans="1:15" x14ac:dyDescent="0.35">
      <c r="A421" s="29">
        <v>139</v>
      </c>
      <c r="B421" s="120"/>
      <c r="C421" s="112" t="s">
        <v>34</v>
      </c>
      <c r="D421" s="112" t="s">
        <v>2260</v>
      </c>
      <c r="E421" s="114" t="s">
        <v>1164</v>
      </c>
      <c r="F421" s="114" t="s">
        <v>2261</v>
      </c>
      <c r="G421" s="112" t="s">
        <v>2262</v>
      </c>
      <c r="H421" s="112" t="s">
        <v>2263</v>
      </c>
      <c r="I421" s="114" t="s">
        <v>460</v>
      </c>
      <c r="J421" s="116" t="s">
        <v>470</v>
      </c>
      <c r="K421" s="118" t="s">
        <v>2264</v>
      </c>
      <c r="L421" s="118" t="s">
        <v>67</v>
      </c>
      <c r="M421" s="122" t="s">
        <v>525</v>
      </c>
      <c r="N421" s="122" t="s">
        <v>1164</v>
      </c>
      <c r="O421" s="112" t="s">
        <v>41</v>
      </c>
    </row>
    <row r="422" spans="1:15" x14ac:dyDescent="0.35">
      <c r="A422" s="29">
        <v>162</v>
      </c>
      <c r="B422" s="120"/>
      <c r="C422" s="112" t="s">
        <v>34</v>
      </c>
      <c r="D422" s="112" t="s">
        <v>2260</v>
      </c>
      <c r="E422" s="114" t="s">
        <v>1164</v>
      </c>
      <c r="F422" s="114" t="s">
        <v>2261</v>
      </c>
      <c r="G422" s="112" t="s">
        <v>2262</v>
      </c>
      <c r="H422" s="112" t="s">
        <v>2263</v>
      </c>
      <c r="I422" s="114" t="s">
        <v>460</v>
      </c>
      <c r="J422" s="116" t="s">
        <v>470</v>
      </c>
      <c r="K422" s="118" t="s">
        <v>2264</v>
      </c>
      <c r="L422" s="118" t="s">
        <v>67</v>
      </c>
      <c r="M422" s="122" t="s">
        <v>525</v>
      </c>
      <c r="N422" s="122" t="s">
        <v>1164</v>
      </c>
      <c r="O422" s="112" t="s">
        <v>41</v>
      </c>
    </row>
    <row r="423" spans="1:15" x14ac:dyDescent="0.35">
      <c r="A423" s="29">
        <v>163</v>
      </c>
      <c r="B423" s="120"/>
      <c r="C423" s="112" t="s">
        <v>34</v>
      </c>
      <c r="D423" s="112" t="s">
        <v>2260</v>
      </c>
      <c r="E423" s="114" t="s">
        <v>1164</v>
      </c>
      <c r="F423" s="114" t="s">
        <v>2261</v>
      </c>
      <c r="G423" s="112" t="s">
        <v>2262</v>
      </c>
      <c r="H423" s="112" t="s">
        <v>2263</v>
      </c>
      <c r="I423" s="114" t="s">
        <v>460</v>
      </c>
      <c r="J423" s="116" t="s">
        <v>470</v>
      </c>
      <c r="K423" s="118" t="s">
        <v>2264</v>
      </c>
      <c r="L423" s="118" t="s">
        <v>67</v>
      </c>
      <c r="M423" s="122" t="s">
        <v>525</v>
      </c>
      <c r="N423" s="122" t="s">
        <v>1164</v>
      </c>
      <c r="O423" s="112" t="s">
        <v>41</v>
      </c>
    </row>
    <row r="424" spans="1:15" x14ac:dyDescent="0.35">
      <c r="A424" s="29">
        <v>164</v>
      </c>
      <c r="B424" s="120"/>
      <c r="C424" s="112" t="s">
        <v>34</v>
      </c>
      <c r="D424" s="112" t="s">
        <v>2260</v>
      </c>
      <c r="E424" s="114" t="s">
        <v>1164</v>
      </c>
      <c r="F424" s="114" t="s">
        <v>2261</v>
      </c>
      <c r="G424" s="112" t="s">
        <v>2262</v>
      </c>
      <c r="H424" s="112" t="s">
        <v>2263</v>
      </c>
      <c r="I424" s="114" t="s">
        <v>460</v>
      </c>
      <c r="J424" s="116" t="s">
        <v>470</v>
      </c>
      <c r="K424" s="118" t="s">
        <v>2264</v>
      </c>
      <c r="L424" s="118" t="s">
        <v>67</v>
      </c>
      <c r="M424" s="122" t="s">
        <v>525</v>
      </c>
      <c r="N424" s="122" t="s">
        <v>1164</v>
      </c>
      <c r="O424" s="112" t="s">
        <v>41</v>
      </c>
    </row>
    <row r="425" spans="1:15" x14ac:dyDescent="0.35">
      <c r="A425" s="29">
        <v>181</v>
      </c>
      <c r="B425" s="120"/>
      <c r="C425" s="112" t="s">
        <v>34</v>
      </c>
      <c r="D425" s="112" t="s">
        <v>2260</v>
      </c>
      <c r="E425" s="114" t="s">
        <v>1164</v>
      </c>
      <c r="F425" s="114" t="s">
        <v>2261</v>
      </c>
      <c r="G425" s="112" t="s">
        <v>2262</v>
      </c>
      <c r="H425" s="112" t="s">
        <v>2263</v>
      </c>
      <c r="I425" s="114" t="s">
        <v>460</v>
      </c>
      <c r="J425" s="116" t="s">
        <v>470</v>
      </c>
      <c r="K425" s="118" t="s">
        <v>2264</v>
      </c>
      <c r="L425" s="118" t="s">
        <v>67</v>
      </c>
      <c r="M425" s="122" t="s">
        <v>525</v>
      </c>
      <c r="N425" s="122" t="s">
        <v>1164</v>
      </c>
      <c r="O425" s="112" t="s">
        <v>41</v>
      </c>
    </row>
    <row r="426" spans="1:15" x14ac:dyDescent="0.35">
      <c r="A426" s="29">
        <v>183</v>
      </c>
      <c r="B426" s="120"/>
      <c r="C426" s="112" t="s">
        <v>34</v>
      </c>
      <c r="D426" s="112" t="s">
        <v>2260</v>
      </c>
      <c r="E426" s="114" t="s">
        <v>1164</v>
      </c>
      <c r="F426" s="114" t="s">
        <v>2261</v>
      </c>
      <c r="G426" s="112" t="s">
        <v>2262</v>
      </c>
      <c r="H426" s="112" t="s">
        <v>2263</v>
      </c>
      <c r="I426" s="114" t="s">
        <v>460</v>
      </c>
      <c r="J426" s="116" t="s">
        <v>470</v>
      </c>
      <c r="K426" s="118" t="s">
        <v>2264</v>
      </c>
      <c r="L426" s="118" t="s">
        <v>67</v>
      </c>
      <c r="M426" s="122" t="s">
        <v>525</v>
      </c>
      <c r="N426" s="122" t="s">
        <v>1164</v>
      </c>
      <c r="O426" s="112" t="s">
        <v>41</v>
      </c>
    </row>
    <row r="427" spans="1:15" x14ac:dyDescent="0.35">
      <c r="A427" s="29">
        <v>184</v>
      </c>
      <c r="B427" s="120"/>
      <c r="C427" s="112" t="s">
        <v>34</v>
      </c>
      <c r="D427" s="112" t="s">
        <v>2260</v>
      </c>
      <c r="E427" s="114" t="s">
        <v>1164</v>
      </c>
      <c r="F427" s="114" t="s">
        <v>2261</v>
      </c>
      <c r="G427" s="112" t="s">
        <v>2262</v>
      </c>
      <c r="H427" s="112" t="s">
        <v>2263</v>
      </c>
      <c r="I427" s="114" t="s">
        <v>460</v>
      </c>
      <c r="J427" s="116" t="s">
        <v>470</v>
      </c>
      <c r="K427" s="118" t="s">
        <v>2264</v>
      </c>
      <c r="L427" s="118" t="s">
        <v>67</v>
      </c>
      <c r="M427" s="122" t="s">
        <v>525</v>
      </c>
      <c r="N427" s="122" t="s">
        <v>1164</v>
      </c>
      <c r="O427" s="112" t="s">
        <v>41</v>
      </c>
    </row>
    <row r="428" spans="1:15" x14ac:dyDescent="0.35">
      <c r="A428" s="29">
        <v>185</v>
      </c>
      <c r="B428" s="120"/>
      <c r="C428" s="112" t="s">
        <v>34</v>
      </c>
      <c r="D428" s="112" t="s">
        <v>2260</v>
      </c>
      <c r="E428" s="114" t="s">
        <v>1164</v>
      </c>
      <c r="F428" s="114" t="s">
        <v>2261</v>
      </c>
      <c r="G428" s="112" t="s">
        <v>2262</v>
      </c>
      <c r="H428" s="112" t="s">
        <v>2263</v>
      </c>
      <c r="I428" s="114" t="s">
        <v>460</v>
      </c>
      <c r="J428" s="116" t="s">
        <v>470</v>
      </c>
      <c r="K428" s="118" t="s">
        <v>2264</v>
      </c>
      <c r="L428" s="118" t="s">
        <v>67</v>
      </c>
      <c r="M428" s="122" t="s">
        <v>525</v>
      </c>
      <c r="N428" s="122" t="s">
        <v>1164</v>
      </c>
      <c r="O428" s="112" t="s">
        <v>41</v>
      </c>
    </row>
    <row r="429" spans="1:15" x14ac:dyDescent="0.35">
      <c r="A429" s="29">
        <v>186</v>
      </c>
      <c r="B429" s="120"/>
      <c r="C429" s="112" t="s">
        <v>34</v>
      </c>
      <c r="D429" s="112" t="s">
        <v>2260</v>
      </c>
      <c r="E429" s="114" t="s">
        <v>1164</v>
      </c>
      <c r="F429" s="114" t="s">
        <v>2261</v>
      </c>
      <c r="G429" s="112" t="s">
        <v>2262</v>
      </c>
      <c r="H429" s="112" t="s">
        <v>2263</v>
      </c>
      <c r="I429" s="114" t="s">
        <v>460</v>
      </c>
      <c r="J429" s="116" t="s">
        <v>470</v>
      </c>
      <c r="K429" s="118" t="s">
        <v>2264</v>
      </c>
      <c r="L429" s="118" t="s">
        <v>67</v>
      </c>
      <c r="M429" s="122" t="s">
        <v>525</v>
      </c>
      <c r="N429" s="122" t="s">
        <v>1164</v>
      </c>
      <c r="O429" s="112" t="s">
        <v>41</v>
      </c>
    </row>
    <row r="430" spans="1:15" x14ac:dyDescent="0.35">
      <c r="A430" s="29">
        <v>187</v>
      </c>
      <c r="B430" s="120"/>
      <c r="C430" s="112" t="s">
        <v>34</v>
      </c>
      <c r="D430" s="112" t="s">
        <v>2260</v>
      </c>
      <c r="E430" s="114" t="s">
        <v>1164</v>
      </c>
      <c r="F430" s="114" t="s">
        <v>2261</v>
      </c>
      <c r="G430" s="112" t="s">
        <v>2262</v>
      </c>
      <c r="H430" s="112" t="s">
        <v>2263</v>
      </c>
      <c r="I430" s="114" t="s">
        <v>460</v>
      </c>
      <c r="J430" s="116" t="s">
        <v>470</v>
      </c>
      <c r="K430" s="118" t="s">
        <v>2264</v>
      </c>
      <c r="L430" s="118" t="s">
        <v>67</v>
      </c>
      <c r="M430" s="122" t="s">
        <v>525</v>
      </c>
      <c r="N430" s="122" t="s">
        <v>1164</v>
      </c>
      <c r="O430" s="112" t="s">
        <v>41</v>
      </c>
    </row>
    <row r="431" spans="1:15" x14ac:dyDescent="0.35">
      <c r="A431" s="29">
        <v>188</v>
      </c>
      <c r="B431" s="120"/>
      <c r="C431" s="112" t="s">
        <v>34</v>
      </c>
      <c r="D431" s="112" t="s">
        <v>2260</v>
      </c>
      <c r="E431" s="114" t="s">
        <v>1164</v>
      </c>
      <c r="F431" s="114" t="s">
        <v>2261</v>
      </c>
      <c r="G431" s="112" t="s">
        <v>2262</v>
      </c>
      <c r="H431" s="112" t="s">
        <v>2263</v>
      </c>
      <c r="I431" s="114" t="s">
        <v>460</v>
      </c>
      <c r="J431" s="116" t="s">
        <v>470</v>
      </c>
      <c r="K431" s="118" t="s">
        <v>2264</v>
      </c>
      <c r="L431" s="118" t="s">
        <v>67</v>
      </c>
      <c r="M431" s="122" t="s">
        <v>525</v>
      </c>
      <c r="N431" s="122" t="s">
        <v>1164</v>
      </c>
      <c r="O431" s="112" t="s">
        <v>41</v>
      </c>
    </row>
    <row r="432" spans="1:15" x14ac:dyDescent="0.35">
      <c r="A432" s="29">
        <v>189</v>
      </c>
      <c r="B432" s="120"/>
      <c r="C432" s="112" t="s">
        <v>34</v>
      </c>
      <c r="D432" s="112" t="s">
        <v>2260</v>
      </c>
      <c r="E432" s="114" t="s">
        <v>1164</v>
      </c>
      <c r="F432" s="114" t="s">
        <v>2261</v>
      </c>
      <c r="G432" s="112" t="s">
        <v>2262</v>
      </c>
      <c r="H432" s="112" t="s">
        <v>2263</v>
      </c>
      <c r="I432" s="114" t="s">
        <v>460</v>
      </c>
      <c r="J432" s="116" t="s">
        <v>470</v>
      </c>
      <c r="K432" s="118" t="s">
        <v>2264</v>
      </c>
      <c r="L432" s="118" t="s">
        <v>67</v>
      </c>
      <c r="M432" s="122" t="s">
        <v>525</v>
      </c>
      <c r="N432" s="122" t="s">
        <v>1164</v>
      </c>
      <c r="O432" s="112" t="s">
        <v>41</v>
      </c>
    </row>
    <row r="433" spans="1:15" x14ac:dyDescent="0.35">
      <c r="A433" s="29">
        <v>190</v>
      </c>
      <c r="B433" s="120"/>
      <c r="C433" s="112" t="s">
        <v>34</v>
      </c>
      <c r="D433" s="112" t="s">
        <v>2260</v>
      </c>
      <c r="E433" s="114" t="s">
        <v>1164</v>
      </c>
      <c r="F433" s="114" t="s">
        <v>2261</v>
      </c>
      <c r="G433" s="112" t="s">
        <v>2262</v>
      </c>
      <c r="H433" s="112" t="s">
        <v>2263</v>
      </c>
      <c r="I433" s="114" t="s">
        <v>460</v>
      </c>
      <c r="J433" s="116" t="s">
        <v>470</v>
      </c>
      <c r="K433" s="118" t="s">
        <v>2264</v>
      </c>
      <c r="L433" s="118" t="s">
        <v>67</v>
      </c>
      <c r="M433" s="122" t="s">
        <v>525</v>
      </c>
      <c r="N433" s="122" t="s">
        <v>1164</v>
      </c>
      <c r="O433" s="112" t="s">
        <v>41</v>
      </c>
    </row>
    <row r="434" spans="1:15" x14ac:dyDescent="0.35">
      <c r="A434" s="29">
        <v>794</v>
      </c>
      <c r="B434" s="120"/>
      <c r="C434" s="112" t="s">
        <v>34</v>
      </c>
      <c r="D434" s="112" t="s">
        <v>2260</v>
      </c>
      <c r="E434" s="114" t="s">
        <v>1164</v>
      </c>
      <c r="F434" s="114" t="s">
        <v>2261</v>
      </c>
      <c r="G434" s="112" t="s">
        <v>2262</v>
      </c>
      <c r="H434" s="112" t="s">
        <v>2263</v>
      </c>
      <c r="I434" s="114" t="s">
        <v>460</v>
      </c>
      <c r="J434" s="116" t="s">
        <v>470</v>
      </c>
      <c r="K434" s="118" t="s">
        <v>2264</v>
      </c>
      <c r="L434" s="118" t="s">
        <v>67</v>
      </c>
      <c r="M434" s="122" t="s">
        <v>525</v>
      </c>
      <c r="N434" s="122" t="s">
        <v>1164</v>
      </c>
      <c r="O434" s="112" t="s">
        <v>41</v>
      </c>
    </row>
    <row r="435" spans="1:15" x14ac:dyDescent="0.35">
      <c r="A435" s="29">
        <v>16</v>
      </c>
      <c r="B435" s="120"/>
      <c r="C435" s="112"/>
      <c r="D435" s="112"/>
      <c r="E435" s="114"/>
      <c r="F435" s="114"/>
      <c r="G435" s="112"/>
      <c r="H435" s="112"/>
      <c r="I435" s="114"/>
      <c r="J435" s="116"/>
      <c r="K435" s="118"/>
      <c r="L435" s="118"/>
      <c r="M435" s="122"/>
      <c r="N435" s="122"/>
      <c r="O435" s="112"/>
    </row>
    <row r="436" spans="1:15" x14ac:dyDescent="0.35">
      <c r="A436" s="29">
        <v>1071</v>
      </c>
      <c r="B436" s="121"/>
      <c r="C436" s="113" t="s">
        <v>34</v>
      </c>
      <c r="D436" s="113" t="s">
        <v>2260</v>
      </c>
      <c r="E436" s="115" t="s">
        <v>1164</v>
      </c>
      <c r="F436" s="115" t="s">
        <v>2261</v>
      </c>
      <c r="G436" s="113" t="s">
        <v>2262</v>
      </c>
      <c r="H436" s="113" t="s">
        <v>2263</v>
      </c>
      <c r="I436" s="115" t="s">
        <v>460</v>
      </c>
      <c r="J436" s="117" t="s">
        <v>470</v>
      </c>
      <c r="K436" s="119" t="s">
        <v>2264</v>
      </c>
      <c r="L436" s="119" t="s">
        <v>67</v>
      </c>
      <c r="M436" s="101" t="s">
        <v>525</v>
      </c>
      <c r="N436" s="101" t="s">
        <v>1164</v>
      </c>
      <c r="O436" s="113" t="s">
        <v>41</v>
      </c>
    </row>
    <row r="437" spans="1:15" x14ac:dyDescent="0.35">
      <c r="A437" s="53">
        <v>17</v>
      </c>
      <c r="B437" s="111" t="s">
        <v>46</v>
      </c>
      <c r="C437" s="123" t="s">
        <v>1336</v>
      </c>
      <c r="D437" s="123" t="s">
        <v>2265</v>
      </c>
      <c r="E437" s="130" t="s">
        <v>2266</v>
      </c>
      <c r="F437" s="130" t="s">
        <v>2267</v>
      </c>
      <c r="G437" s="123" t="s">
        <v>2268</v>
      </c>
      <c r="H437" s="123" t="s">
        <v>2169</v>
      </c>
      <c r="I437" s="130" t="s">
        <v>2170</v>
      </c>
      <c r="J437" s="131" t="s">
        <v>2171</v>
      </c>
      <c r="K437" s="124" t="s">
        <v>2269</v>
      </c>
      <c r="L437" s="124" t="s">
        <v>82</v>
      </c>
      <c r="M437" s="100" t="s">
        <v>60</v>
      </c>
      <c r="N437" s="100" t="s">
        <v>873</v>
      </c>
      <c r="O437" s="123" t="s">
        <v>2174</v>
      </c>
    </row>
    <row r="438" spans="1:15" x14ac:dyDescent="0.35">
      <c r="A438" s="29">
        <v>18</v>
      </c>
      <c r="B438" s="120"/>
      <c r="C438" s="112" t="s">
        <v>1336</v>
      </c>
      <c r="D438" s="112" t="s">
        <v>2265</v>
      </c>
      <c r="E438" s="114" t="s">
        <v>2266</v>
      </c>
      <c r="F438" s="114" t="s">
        <v>2267</v>
      </c>
      <c r="G438" s="112" t="s">
        <v>2268</v>
      </c>
      <c r="H438" s="112" t="s">
        <v>2169</v>
      </c>
      <c r="I438" s="114" t="s">
        <v>2170</v>
      </c>
      <c r="J438" s="116" t="s">
        <v>2171</v>
      </c>
      <c r="K438" s="118" t="s">
        <v>2269</v>
      </c>
      <c r="L438" s="118" t="s">
        <v>103</v>
      </c>
      <c r="M438" s="122" t="s">
        <v>60</v>
      </c>
      <c r="N438" s="122" t="s">
        <v>873</v>
      </c>
      <c r="O438" s="112" t="s">
        <v>2270</v>
      </c>
    </row>
    <row r="439" spans="1:15" x14ac:dyDescent="0.35">
      <c r="A439" s="29">
        <v>19</v>
      </c>
      <c r="B439" s="120"/>
      <c r="C439" s="112" t="s">
        <v>1336</v>
      </c>
      <c r="D439" s="112" t="s">
        <v>2265</v>
      </c>
      <c r="E439" s="114" t="s">
        <v>2266</v>
      </c>
      <c r="F439" s="114" t="s">
        <v>2267</v>
      </c>
      <c r="G439" s="112" t="s">
        <v>2268</v>
      </c>
      <c r="H439" s="112" t="s">
        <v>2169</v>
      </c>
      <c r="I439" s="114" t="s">
        <v>2170</v>
      </c>
      <c r="J439" s="116" t="s">
        <v>2171</v>
      </c>
      <c r="K439" s="118" t="s">
        <v>2269</v>
      </c>
      <c r="L439" s="118" t="s">
        <v>103</v>
      </c>
      <c r="M439" s="122" t="s">
        <v>60</v>
      </c>
      <c r="N439" s="122" t="s">
        <v>873</v>
      </c>
      <c r="O439" s="112" t="s">
        <v>2270</v>
      </c>
    </row>
    <row r="440" spans="1:15" x14ac:dyDescent="0.35">
      <c r="A440" s="29">
        <v>20</v>
      </c>
      <c r="B440" s="120"/>
      <c r="C440" s="112" t="s">
        <v>1336</v>
      </c>
      <c r="D440" s="112" t="s">
        <v>2265</v>
      </c>
      <c r="E440" s="114" t="s">
        <v>2266</v>
      </c>
      <c r="F440" s="114" t="s">
        <v>2267</v>
      </c>
      <c r="G440" s="112" t="s">
        <v>2268</v>
      </c>
      <c r="H440" s="112" t="s">
        <v>2169</v>
      </c>
      <c r="I440" s="114" t="s">
        <v>2170</v>
      </c>
      <c r="J440" s="116" t="s">
        <v>2171</v>
      </c>
      <c r="K440" s="118" t="s">
        <v>2269</v>
      </c>
      <c r="L440" s="118" t="s">
        <v>103</v>
      </c>
      <c r="M440" s="122" t="s">
        <v>60</v>
      </c>
      <c r="N440" s="122" t="s">
        <v>873</v>
      </c>
      <c r="O440" s="112" t="s">
        <v>2270</v>
      </c>
    </row>
    <row r="441" spans="1:15" x14ac:dyDescent="0.35">
      <c r="A441" s="29">
        <v>21</v>
      </c>
      <c r="B441" s="120"/>
      <c r="C441" s="112" t="s">
        <v>1336</v>
      </c>
      <c r="D441" s="112" t="s">
        <v>2265</v>
      </c>
      <c r="E441" s="114" t="s">
        <v>2266</v>
      </c>
      <c r="F441" s="114" t="s">
        <v>2267</v>
      </c>
      <c r="G441" s="112" t="s">
        <v>2268</v>
      </c>
      <c r="H441" s="112" t="s">
        <v>2169</v>
      </c>
      <c r="I441" s="114" t="s">
        <v>2170</v>
      </c>
      <c r="J441" s="116" t="s">
        <v>2171</v>
      </c>
      <c r="K441" s="118" t="s">
        <v>2269</v>
      </c>
      <c r="L441" s="118" t="s">
        <v>103</v>
      </c>
      <c r="M441" s="122" t="s">
        <v>60</v>
      </c>
      <c r="N441" s="122" t="s">
        <v>873</v>
      </c>
      <c r="O441" s="112" t="s">
        <v>2270</v>
      </c>
    </row>
    <row r="442" spans="1:15" x14ac:dyDescent="0.35">
      <c r="A442" s="53">
        <v>220</v>
      </c>
      <c r="B442" s="120"/>
      <c r="C442" s="112" t="s">
        <v>1336</v>
      </c>
      <c r="D442" s="112" t="s">
        <v>2265</v>
      </c>
      <c r="E442" s="114" t="s">
        <v>2266</v>
      </c>
      <c r="F442" s="114" t="s">
        <v>2267</v>
      </c>
      <c r="G442" s="112" t="s">
        <v>2268</v>
      </c>
      <c r="H442" s="112" t="s">
        <v>2169</v>
      </c>
      <c r="I442" s="114" t="s">
        <v>2170</v>
      </c>
      <c r="J442" s="116" t="s">
        <v>2171</v>
      </c>
      <c r="K442" s="118" t="s">
        <v>2269</v>
      </c>
      <c r="L442" s="118" t="s">
        <v>103</v>
      </c>
      <c r="M442" s="122" t="s">
        <v>60</v>
      </c>
      <c r="N442" s="122" t="s">
        <v>873</v>
      </c>
      <c r="O442" s="112" t="s">
        <v>2270</v>
      </c>
    </row>
    <row r="443" spans="1:15" x14ac:dyDescent="0.35">
      <c r="A443" s="29">
        <v>306</v>
      </c>
      <c r="B443" s="120"/>
      <c r="C443" s="112" t="s">
        <v>1336</v>
      </c>
      <c r="D443" s="112" t="s">
        <v>2265</v>
      </c>
      <c r="E443" s="114" t="s">
        <v>2266</v>
      </c>
      <c r="F443" s="114" t="s">
        <v>2267</v>
      </c>
      <c r="G443" s="112" t="s">
        <v>2268</v>
      </c>
      <c r="H443" s="112" t="s">
        <v>2169</v>
      </c>
      <c r="I443" s="114" t="s">
        <v>2170</v>
      </c>
      <c r="J443" s="116" t="s">
        <v>2171</v>
      </c>
      <c r="K443" s="118" t="s">
        <v>2269</v>
      </c>
      <c r="L443" s="118" t="s">
        <v>103</v>
      </c>
      <c r="M443" s="122" t="s">
        <v>60</v>
      </c>
      <c r="N443" s="122" t="s">
        <v>873</v>
      </c>
      <c r="O443" s="112" t="s">
        <v>2270</v>
      </c>
    </row>
    <row r="444" spans="1:15" x14ac:dyDescent="0.35">
      <c r="A444" s="29">
        <v>307</v>
      </c>
      <c r="B444" s="120"/>
      <c r="C444" s="112" t="s">
        <v>1336</v>
      </c>
      <c r="D444" s="112" t="s">
        <v>2265</v>
      </c>
      <c r="E444" s="114" t="s">
        <v>2266</v>
      </c>
      <c r="F444" s="114" t="s">
        <v>2267</v>
      </c>
      <c r="G444" s="112" t="s">
        <v>2268</v>
      </c>
      <c r="H444" s="112" t="s">
        <v>2169</v>
      </c>
      <c r="I444" s="114" t="s">
        <v>2170</v>
      </c>
      <c r="J444" s="116" t="s">
        <v>2171</v>
      </c>
      <c r="K444" s="118" t="s">
        <v>2269</v>
      </c>
      <c r="L444" s="118" t="s">
        <v>103</v>
      </c>
      <c r="M444" s="122" t="s">
        <v>60</v>
      </c>
      <c r="N444" s="122" t="s">
        <v>873</v>
      </c>
      <c r="O444" s="112" t="s">
        <v>2270</v>
      </c>
    </row>
    <row r="445" spans="1:15" x14ac:dyDescent="0.35">
      <c r="A445" s="29">
        <v>308</v>
      </c>
      <c r="B445" s="120"/>
      <c r="C445" s="112" t="s">
        <v>1336</v>
      </c>
      <c r="D445" s="112" t="s">
        <v>2265</v>
      </c>
      <c r="E445" s="114" t="s">
        <v>2266</v>
      </c>
      <c r="F445" s="114" t="s">
        <v>2267</v>
      </c>
      <c r="G445" s="112" t="s">
        <v>2268</v>
      </c>
      <c r="H445" s="112" t="s">
        <v>2169</v>
      </c>
      <c r="I445" s="114" t="s">
        <v>2170</v>
      </c>
      <c r="J445" s="116" t="s">
        <v>2171</v>
      </c>
      <c r="K445" s="118" t="s">
        <v>2269</v>
      </c>
      <c r="L445" s="118" t="s">
        <v>103</v>
      </c>
      <c r="M445" s="122" t="s">
        <v>60</v>
      </c>
      <c r="N445" s="122" t="s">
        <v>873</v>
      </c>
      <c r="O445" s="112" t="s">
        <v>2270</v>
      </c>
    </row>
    <row r="446" spans="1:15" x14ac:dyDescent="0.35">
      <c r="A446" s="29">
        <v>309</v>
      </c>
      <c r="B446" s="120"/>
      <c r="C446" s="112" t="s">
        <v>1336</v>
      </c>
      <c r="D446" s="112" t="s">
        <v>2265</v>
      </c>
      <c r="E446" s="114" t="s">
        <v>2266</v>
      </c>
      <c r="F446" s="114" t="s">
        <v>2267</v>
      </c>
      <c r="G446" s="112" t="s">
        <v>2268</v>
      </c>
      <c r="H446" s="112" t="s">
        <v>2169</v>
      </c>
      <c r="I446" s="114" t="s">
        <v>2170</v>
      </c>
      <c r="J446" s="116" t="s">
        <v>2171</v>
      </c>
      <c r="K446" s="118" t="s">
        <v>2269</v>
      </c>
      <c r="L446" s="118" t="s">
        <v>103</v>
      </c>
      <c r="M446" s="122" t="s">
        <v>60</v>
      </c>
      <c r="N446" s="122" t="s">
        <v>873</v>
      </c>
      <c r="O446" s="112" t="s">
        <v>2270</v>
      </c>
    </row>
    <row r="447" spans="1:15" x14ac:dyDescent="0.35">
      <c r="A447" s="29">
        <v>310</v>
      </c>
      <c r="B447" s="120"/>
      <c r="C447" s="112" t="s">
        <v>1336</v>
      </c>
      <c r="D447" s="112" t="s">
        <v>2265</v>
      </c>
      <c r="E447" s="114" t="s">
        <v>2266</v>
      </c>
      <c r="F447" s="114" t="s">
        <v>2267</v>
      </c>
      <c r="G447" s="112" t="s">
        <v>2268</v>
      </c>
      <c r="H447" s="112" t="s">
        <v>2169</v>
      </c>
      <c r="I447" s="114" t="s">
        <v>2170</v>
      </c>
      <c r="J447" s="116" t="s">
        <v>2171</v>
      </c>
      <c r="K447" s="118" t="s">
        <v>2269</v>
      </c>
      <c r="L447" s="118" t="s">
        <v>103</v>
      </c>
      <c r="M447" s="122" t="s">
        <v>60</v>
      </c>
      <c r="N447" s="122" t="s">
        <v>873</v>
      </c>
      <c r="O447" s="112" t="s">
        <v>2270</v>
      </c>
    </row>
    <row r="448" spans="1:15" x14ac:dyDescent="0.35">
      <c r="A448" s="29">
        <v>311</v>
      </c>
      <c r="B448" s="120"/>
      <c r="C448" s="112" t="s">
        <v>1336</v>
      </c>
      <c r="D448" s="112" t="s">
        <v>2265</v>
      </c>
      <c r="E448" s="114" t="s">
        <v>2266</v>
      </c>
      <c r="F448" s="114" t="s">
        <v>2267</v>
      </c>
      <c r="G448" s="112" t="s">
        <v>2268</v>
      </c>
      <c r="H448" s="112" t="s">
        <v>2169</v>
      </c>
      <c r="I448" s="114" t="s">
        <v>2170</v>
      </c>
      <c r="J448" s="116" t="s">
        <v>2171</v>
      </c>
      <c r="K448" s="118" t="s">
        <v>2269</v>
      </c>
      <c r="L448" s="118" t="s">
        <v>103</v>
      </c>
      <c r="M448" s="122" t="s">
        <v>60</v>
      </c>
      <c r="N448" s="122" t="s">
        <v>873</v>
      </c>
      <c r="O448" s="112" t="s">
        <v>2270</v>
      </c>
    </row>
    <row r="449" spans="1:15" x14ac:dyDescent="0.35">
      <c r="A449" s="29">
        <v>318</v>
      </c>
      <c r="B449" s="121"/>
      <c r="C449" s="113" t="s">
        <v>1336</v>
      </c>
      <c r="D449" s="113" t="s">
        <v>2265</v>
      </c>
      <c r="E449" s="115" t="s">
        <v>2266</v>
      </c>
      <c r="F449" s="115" t="s">
        <v>2267</v>
      </c>
      <c r="G449" s="113" t="s">
        <v>2268</v>
      </c>
      <c r="H449" s="113" t="s">
        <v>2169</v>
      </c>
      <c r="I449" s="115" t="s">
        <v>2170</v>
      </c>
      <c r="J449" s="117" t="s">
        <v>2171</v>
      </c>
      <c r="K449" s="119" t="s">
        <v>2269</v>
      </c>
      <c r="L449" s="119" t="s">
        <v>103</v>
      </c>
      <c r="M449" s="101" t="s">
        <v>60</v>
      </c>
      <c r="N449" s="101" t="s">
        <v>873</v>
      </c>
      <c r="O449" s="113" t="s">
        <v>2270</v>
      </c>
    </row>
    <row r="450" spans="1:15" s="26" customFormat="1" ht="43.5" x14ac:dyDescent="0.35">
      <c r="A450" s="29">
        <v>851</v>
      </c>
      <c r="B450" s="7" t="s">
        <v>46</v>
      </c>
      <c r="C450" s="12" t="s">
        <v>1113</v>
      </c>
      <c r="D450" s="21" t="s">
        <v>2271</v>
      </c>
      <c r="E450" s="4" t="s">
        <v>2272</v>
      </c>
      <c r="F450" s="4" t="s">
        <v>2272</v>
      </c>
      <c r="G450" s="12" t="s">
        <v>2273</v>
      </c>
      <c r="H450" s="12" t="s">
        <v>2273</v>
      </c>
      <c r="I450" s="4" t="s">
        <v>40</v>
      </c>
      <c r="J450" s="6" t="s">
        <v>41</v>
      </c>
      <c r="K450" s="8" t="s">
        <v>210</v>
      </c>
      <c r="L450" s="8" t="s">
        <v>43</v>
      </c>
      <c r="M450" s="51" t="s">
        <v>1117</v>
      </c>
      <c r="N450" s="51" t="s">
        <v>2272</v>
      </c>
      <c r="O450" s="7" t="s">
        <v>41</v>
      </c>
    </row>
    <row r="451" spans="1:15" x14ac:dyDescent="0.35">
      <c r="A451" s="29">
        <v>682</v>
      </c>
      <c r="B451" s="7" t="s">
        <v>46</v>
      </c>
      <c r="C451" s="12" t="s">
        <v>1113</v>
      </c>
      <c r="D451" s="12" t="s">
        <v>2274</v>
      </c>
      <c r="E451" s="4" t="s">
        <v>2275</v>
      </c>
      <c r="F451" s="4" t="s">
        <v>2275</v>
      </c>
      <c r="G451" s="12" t="s">
        <v>2276</v>
      </c>
      <c r="H451" s="12" t="s">
        <v>2277</v>
      </c>
      <c r="I451" s="4" t="s">
        <v>40</v>
      </c>
      <c r="J451" s="6" t="s">
        <v>41</v>
      </c>
      <c r="K451" s="8" t="s">
        <v>111</v>
      </c>
      <c r="L451" s="8" t="s">
        <v>103</v>
      </c>
      <c r="M451" s="51" t="s">
        <v>1117</v>
      </c>
      <c r="N451" s="50" t="s">
        <v>2278</v>
      </c>
      <c r="O451" s="7" t="s">
        <v>41</v>
      </c>
    </row>
    <row r="452" spans="1:15" x14ac:dyDescent="0.35">
      <c r="A452" s="29">
        <v>26506</v>
      </c>
      <c r="B452" s="7" t="s">
        <v>46</v>
      </c>
      <c r="C452" s="12" t="s">
        <v>778</v>
      </c>
      <c r="D452" s="12" t="s">
        <v>2279</v>
      </c>
      <c r="E452" s="4" t="s">
        <v>2280</v>
      </c>
      <c r="F452" s="4" t="s">
        <v>2280</v>
      </c>
      <c r="G452" s="12" t="s">
        <v>2281</v>
      </c>
      <c r="H452" s="12" t="s">
        <v>2281</v>
      </c>
      <c r="I452" s="4" t="s">
        <v>40</v>
      </c>
      <c r="J452" s="6" t="s">
        <v>41</v>
      </c>
      <c r="K452" s="8" t="s">
        <v>111</v>
      </c>
      <c r="L452" s="8" t="s">
        <v>103</v>
      </c>
      <c r="M452" s="25" t="s">
        <v>900</v>
      </c>
      <c r="N452" s="50" t="s">
        <v>2282</v>
      </c>
      <c r="O452" s="7" t="s">
        <v>41</v>
      </c>
    </row>
    <row r="453" spans="1:15" x14ac:dyDescent="0.35">
      <c r="A453" s="29">
        <v>874</v>
      </c>
      <c r="B453" s="110" t="s">
        <v>46</v>
      </c>
      <c r="C453" s="125" t="s">
        <v>1336</v>
      </c>
      <c r="D453" s="125" t="s">
        <v>2283</v>
      </c>
      <c r="E453" s="125" t="s">
        <v>1561</v>
      </c>
      <c r="F453" s="125" t="s">
        <v>1561</v>
      </c>
      <c r="G453" s="125" t="s">
        <v>2284</v>
      </c>
      <c r="H453" s="125" t="s">
        <v>2284</v>
      </c>
      <c r="I453" s="125" t="s">
        <v>2170</v>
      </c>
      <c r="J453" s="125" t="s">
        <v>2171</v>
      </c>
      <c r="K453" s="133" t="s">
        <v>2285</v>
      </c>
      <c r="L453" s="133" t="s">
        <v>574</v>
      </c>
      <c r="M453" s="126" t="s">
        <v>60</v>
      </c>
      <c r="N453" s="126" t="s">
        <v>2286</v>
      </c>
      <c r="O453" s="125" t="s">
        <v>2174</v>
      </c>
    </row>
    <row r="454" spans="1:15" x14ac:dyDescent="0.35">
      <c r="A454" s="29">
        <v>875</v>
      </c>
      <c r="B454" s="110"/>
      <c r="C454" s="125"/>
      <c r="D454" s="125"/>
      <c r="E454" s="125"/>
      <c r="F454" s="125"/>
      <c r="G454" s="125"/>
      <c r="H454" s="125"/>
      <c r="I454" s="125"/>
      <c r="J454" s="125"/>
      <c r="K454" s="125"/>
      <c r="L454" s="125"/>
      <c r="M454" s="126"/>
      <c r="N454" s="126"/>
      <c r="O454" s="125"/>
    </row>
    <row r="455" spans="1:15" x14ac:dyDescent="0.35">
      <c r="A455" s="29">
        <v>876</v>
      </c>
      <c r="B455" s="110"/>
      <c r="C455" s="125"/>
      <c r="D455" s="125"/>
      <c r="E455" s="125"/>
      <c r="F455" s="125"/>
      <c r="G455" s="125"/>
      <c r="H455" s="125"/>
      <c r="I455" s="125"/>
      <c r="J455" s="125"/>
      <c r="K455" s="125"/>
      <c r="L455" s="125"/>
      <c r="M455" s="126"/>
      <c r="N455" s="126"/>
      <c r="O455" s="125"/>
    </row>
    <row r="456" spans="1:15" x14ac:dyDescent="0.35">
      <c r="A456" s="29">
        <v>882</v>
      </c>
      <c r="B456" s="110"/>
      <c r="C456" s="125"/>
      <c r="D456" s="125"/>
      <c r="E456" s="125"/>
      <c r="F456" s="125"/>
      <c r="G456" s="125"/>
      <c r="H456" s="125"/>
      <c r="I456" s="125"/>
      <c r="J456" s="125"/>
      <c r="K456" s="125"/>
      <c r="L456" s="125"/>
      <c r="M456" s="126"/>
      <c r="N456" s="126"/>
      <c r="O456" s="125"/>
    </row>
    <row r="457" spans="1:15" x14ac:dyDescent="0.35">
      <c r="A457" s="37">
        <v>883</v>
      </c>
      <c r="B457" s="111"/>
      <c r="C457" s="123"/>
      <c r="D457" s="123"/>
      <c r="E457" s="123"/>
      <c r="F457" s="123"/>
      <c r="G457" s="123"/>
      <c r="H457" s="123"/>
      <c r="I457" s="123"/>
      <c r="J457" s="123"/>
      <c r="K457" s="123"/>
      <c r="L457" s="123"/>
      <c r="M457" s="100"/>
      <c r="N457" s="100"/>
      <c r="O457" s="123"/>
    </row>
    <row r="458" spans="1:15" ht="58" x14ac:dyDescent="0.35">
      <c r="A458" s="29">
        <v>716</v>
      </c>
      <c r="B458" s="7" t="s">
        <v>46</v>
      </c>
      <c r="C458" s="12" t="s">
        <v>778</v>
      </c>
      <c r="D458" s="52" t="s">
        <v>2287</v>
      </c>
      <c r="E458" s="4" t="s">
        <v>2288</v>
      </c>
      <c r="F458" s="4" t="s">
        <v>2288</v>
      </c>
      <c r="G458" s="12" t="s">
        <v>2289</v>
      </c>
      <c r="H458" s="12" t="s">
        <v>2290</v>
      </c>
      <c r="I458" s="4" t="s">
        <v>40</v>
      </c>
      <c r="J458" s="6" t="s">
        <v>41</v>
      </c>
      <c r="K458" s="8" t="s">
        <v>2291</v>
      </c>
      <c r="L458" s="8" t="s">
        <v>59</v>
      </c>
      <c r="M458" s="51" t="s">
        <v>782</v>
      </c>
      <c r="N458" s="25" t="s">
        <v>2292</v>
      </c>
      <c r="O458" s="7" t="s">
        <v>41</v>
      </c>
    </row>
    <row r="459" spans="1:15" ht="43.5" x14ac:dyDescent="0.35">
      <c r="A459" s="29">
        <v>404</v>
      </c>
      <c r="B459" s="7" t="s">
        <v>46</v>
      </c>
      <c r="C459" s="12" t="s">
        <v>34</v>
      </c>
      <c r="D459" s="52" t="s">
        <v>2293</v>
      </c>
      <c r="E459" s="4" t="s">
        <v>1229</v>
      </c>
      <c r="F459" s="4" t="s">
        <v>1229</v>
      </c>
      <c r="G459" s="12" t="s">
        <v>2294</v>
      </c>
      <c r="H459" s="12" t="s">
        <v>2295</v>
      </c>
      <c r="I459" s="4" t="s">
        <v>40</v>
      </c>
      <c r="J459" s="6" t="s">
        <v>41</v>
      </c>
      <c r="K459" s="8" t="s">
        <v>2296</v>
      </c>
      <c r="L459" s="8" t="s">
        <v>59</v>
      </c>
      <c r="M459" s="51" t="s">
        <v>1679</v>
      </c>
      <c r="N459" s="25" t="s">
        <v>2297</v>
      </c>
      <c r="O459" s="7" t="s">
        <v>41</v>
      </c>
    </row>
    <row r="460" spans="1:15" ht="43.5" x14ac:dyDescent="0.35">
      <c r="A460" s="29">
        <v>885</v>
      </c>
      <c r="B460" s="7" t="s">
        <v>46</v>
      </c>
      <c r="C460" s="12" t="s">
        <v>53</v>
      </c>
      <c r="D460" s="52" t="s">
        <v>2298</v>
      </c>
      <c r="E460" s="4" t="s">
        <v>2299</v>
      </c>
      <c r="F460" s="4" t="s">
        <v>2299</v>
      </c>
      <c r="G460" s="12" t="s">
        <v>2300</v>
      </c>
      <c r="H460" s="12" t="s">
        <v>2301</v>
      </c>
      <c r="I460" s="4" t="s">
        <v>40</v>
      </c>
      <c r="J460" s="6" t="s">
        <v>41</v>
      </c>
      <c r="K460" s="8" t="s">
        <v>2302</v>
      </c>
      <c r="L460" s="8" t="s">
        <v>43</v>
      </c>
      <c r="M460" s="51" t="s">
        <v>1220</v>
      </c>
      <c r="N460" s="25" t="s">
        <v>2303</v>
      </c>
      <c r="O460" s="7" t="s">
        <v>41</v>
      </c>
    </row>
    <row r="461" spans="1:15" ht="43.5" x14ac:dyDescent="0.35">
      <c r="A461" s="29">
        <v>547</v>
      </c>
      <c r="B461" s="7" t="s">
        <v>46</v>
      </c>
      <c r="C461" s="12" t="s">
        <v>778</v>
      </c>
      <c r="D461" s="52" t="s">
        <v>2304</v>
      </c>
      <c r="E461" s="4" t="s">
        <v>2305</v>
      </c>
      <c r="F461" s="4" t="s">
        <v>2305</v>
      </c>
      <c r="G461" s="12" t="s">
        <v>2306</v>
      </c>
      <c r="H461" s="12" t="s">
        <v>2307</v>
      </c>
      <c r="I461" s="4" t="s">
        <v>40</v>
      </c>
      <c r="J461" s="6" t="s">
        <v>41</v>
      </c>
      <c r="K461" s="8" t="s">
        <v>2308</v>
      </c>
      <c r="L461" s="8" t="s">
        <v>59</v>
      </c>
      <c r="M461" s="51" t="s">
        <v>900</v>
      </c>
      <c r="N461" s="25" t="s">
        <v>2309</v>
      </c>
      <c r="O461" s="7" t="s">
        <v>41</v>
      </c>
    </row>
    <row r="462" spans="1:15" ht="43.5" x14ac:dyDescent="0.35">
      <c r="A462" s="29">
        <v>1089</v>
      </c>
      <c r="B462" s="7" t="s">
        <v>46</v>
      </c>
      <c r="C462" s="12" t="s">
        <v>34</v>
      </c>
      <c r="D462" s="52" t="s">
        <v>2310</v>
      </c>
      <c r="E462" s="4" t="s">
        <v>2311</v>
      </c>
      <c r="F462" s="4" t="s">
        <v>2311</v>
      </c>
      <c r="G462" s="12" t="s">
        <v>2312</v>
      </c>
      <c r="H462" s="12" t="s">
        <v>2313</v>
      </c>
      <c r="I462" s="4" t="s">
        <v>40</v>
      </c>
      <c r="J462" s="6" t="s">
        <v>41</v>
      </c>
      <c r="K462" s="8" t="s">
        <v>2314</v>
      </c>
      <c r="L462" s="8" t="s">
        <v>59</v>
      </c>
      <c r="M462" s="51" t="s">
        <v>1375</v>
      </c>
      <c r="N462" s="25" t="s">
        <v>2315</v>
      </c>
      <c r="O462" s="7" t="s">
        <v>41</v>
      </c>
    </row>
    <row r="463" spans="1:15" ht="43.5" x14ac:dyDescent="0.35">
      <c r="A463" s="29">
        <v>1088</v>
      </c>
      <c r="B463" s="7" t="s">
        <v>46</v>
      </c>
      <c r="C463" s="12" t="s">
        <v>1113</v>
      </c>
      <c r="D463" s="52" t="s">
        <v>2316</v>
      </c>
      <c r="E463" s="4" t="s">
        <v>2317</v>
      </c>
      <c r="F463" s="4" t="s">
        <v>2317</v>
      </c>
      <c r="G463" s="12" t="s">
        <v>2318</v>
      </c>
      <c r="H463" s="12" t="s">
        <v>2319</v>
      </c>
      <c r="I463" s="4" t="s">
        <v>40</v>
      </c>
      <c r="J463" s="6" t="s">
        <v>41</v>
      </c>
      <c r="K463" s="8" t="s">
        <v>2320</v>
      </c>
      <c r="L463" s="8" t="s">
        <v>43</v>
      </c>
      <c r="M463" s="51" t="s">
        <v>1375</v>
      </c>
      <c r="N463" s="25" t="s">
        <v>2321</v>
      </c>
      <c r="O463" s="7" t="s">
        <v>41</v>
      </c>
    </row>
    <row r="464" spans="1:15" x14ac:dyDescent="0.35">
      <c r="A464" s="29">
        <v>879</v>
      </c>
      <c r="B464" s="7" t="s">
        <v>46</v>
      </c>
      <c r="C464" s="12" t="s">
        <v>1336</v>
      </c>
      <c r="D464" s="52" t="s">
        <v>2322</v>
      </c>
      <c r="E464" s="4" t="s">
        <v>2323</v>
      </c>
      <c r="F464" s="4" t="s">
        <v>2323</v>
      </c>
      <c r="G464" s="12" t="s">
        <v>2324</v>
      </c>
      <c r="H464" s="12" t="s">
        <v>2325</v>
      </c>
      <c r="I464" s="4" t="s">
        <v>40</v>
      </c>
      <c r="J464" s="6" t="s">
        <v>41</v>
      </c>
      <c r="K464" s="8" t="s">
        <v>111</v>
      </c>
      <c r="L464" s="8" t="s">
        <v>103</v>
      </c>
      <c r="M464" s="51" t="s">
        <v>2326</v>
      </c>
      <c r="N464" s="25"/>
      <c r="O464" s="7" t="s">
        <v>2327</v>
      </c>
    </row>
    <row r="465" spans="1:15" ht="43.5" x14ac:dyDescent="0.35">
      <c r="A465" s="29">
        <v>812</v>
      </c>
      <c r="B465" s="7" t="s">
        <v>46</v>
      </c>
      <c r="C465" s="12" t="s">
        <v>176</v>
      </c>
      <c r="D465" s="12" t="s">
        <v>2328</v>
      </c>
      <c r="E465" s="4" t="s">
        <v>2329</v>
      </c>
      <c r="F465" s="4" t="s">
        <v>2329</v>
      </c>
      <c r="G465" s="12" t="s">
        <v>2330</v>
      </c>
      <c r="H465" s="12" t="s">
        <v>2331</v>
      </c>
      <c r="I465" s="4" t="s">
        <v>40</v>
      </c>
      <c r="J465" s="6" t="s">
        <v>41</v>
      </c>
      <c r="K465" s="8" t="s">
        <v>857</v>
      </c>
      <c r="L465" s="8" t="s">
        <v>43</v>
      </c>
      <c r="M465" s="25" t="s">
        <v>2332</v>
      </c>
      <c r="N465" s="25" t="s">
        <v>2333</v>
      </c>
      <c r="O465" s="12" t="s">
        <v>41</v>
      </c>
    </row>
    <row r="466" spans="1:15" ht="43.5" x14ac:dyDescent="0.35">
      <c r="A466" s="29">
        <v>813</v>
      </c>
      <c r="B466" s="7" t="s">
        <v>46</v>
      </c>
      <c r="C466" s="12" t="s">
        <v>176</v>
      </c>
      <c r="D466" s="12" t="s">
        <v>2334</v>
      </c>
      <c r="E466" s="4" t="s">
        <v>2335</v>
      </c>
      <c r="F466" s="4" t="s">
        <v>2335</v>
      </c>
      <c r="G466" s="12" t="s">
        <v>2336</v>
      </c>
      <c r="H466" s="12" t="s">
        <v>2331</v>
      </c>
      <c r="I466" s="4" t="s">
        <v>40</v>
      </c>
      <c r="J466" s="6" t="s">
        <v>41</v>
      </c>
      <c r="K466" s="8" t="s">
        <v>2337</v>
      </c>
      <c r="L466" s="8" t="s">
        <v>43</v>
      </c>
      <c r="M466" s="25" t="s">
        <v>2332</v>
      </c>
      <c r="N466" s="25" t="s">
        <v>2338</v>
      </c>
      <c r="O466" s="12" t="s">
        <v>41</v>
      </c>
    </row>
    <row r="467" spans="1:15" ht="43.5" x14ac:dyDescent="0.35">
      <c r="A467" s="29">
        <v>814</v>
      </c>
      <c r="B467" s="7" t="s">
        <v>46</v>
      </c>
      <c r="C467" s="12" t="s">
        <v>176</v>
      </c>
      <c r="D467" s="12" t="s">
        <v>2339</v>
      </c>
      <c r="E467" s="4" t="s">
        <v>2340</v>
      </c>
      <c r="F467" s="4" t="s">
        <v>2340</v>
      </c>
      <c r="G467" s="12" t="s">
        <v>2341</v>
      </c>
      <c r="H467" s="12" t="s">
        <v>2331</v>
      </c>
      <c r="I467" s="4" t="s">
        <v>40</v>
      </c>
      <c r="J467" s="6" t="s">
        <v>41</v>
      </c>
      <c r="K467" s="8" t="s">
        <v>2342</v>
      </c>
      <c r="L467" s="8" t="s">
        <v>43</v>
      </c>
      <c r="M467" s="25" t="s">
        <v>2332</v>
      </c>
      <c r="N467" s="25" t="s">
        <v>2343</v>
      </c>
      <c r="O467" s="12" t="s">
        <v>41</v>
      </c>
    </row>
    <row r="468" spans="1:15" ht="43.5" x14ac:dyDescent="0.35">
      <c r="A468" s="29">
        <v>815</v>
      </c>
      <c r="B468" s="7" t="s">
        <v>46</v>
      </c>
      <c r="C468" s="12" t="s">
        <v>176</v>
      </c>
      <c r="D468" s="12" t="s">
        <v>2344</v>
      </c>
      <c r="E468" s="4" t="s">
        <v>2345</v>
      </c>
      <c r="F468" s="4" t="s">
        <v>2345</v>
      </c>
      <c r="G468" s="12" t="s">
        <v>2346</v>
      </c>
      <c r="H468" s="12" t="s">
        <v>2331</v>
      </c>
      <c r="I468" s="4" t="s">
        <v>40</v>
      </c>
      <c r="J468" s="6" t="s">
        <v>41</v>
      </c>
      <c r="K468" s="8" t="s">
        <v>2347</v>
      </c>
      <c r="L468" s="8" t="s">
        <v>43</v>
      </c>
      <c r="M468" s="25" t="s">
        <v>2332</v>
      </c>
      <c r="N468" s="25" t="s">
        <v>2348</v>
      </c>
      <c r="O468" s="12" t="s">
        <v>41</v>
      </c>
    </row>
    <row r="469" spans="1:15" x14ac:dyDescent="0.35">
      <c r="A469" s="29">
        <v>571</v>
      </c>
      <c r="B469" s="7" t="s">
        <v>46</v>
      </c>
      <c r="C469" s="12" t="s">
        <v>176</v>
      </c>
      <c r="D469" s="12" t="s">
        <v>2349</v>
      </c>
      <c r="E469" s="4" t="s">
        <v>2350</v>
      </c>
      <c r="F469" s="4" t="s">
        <v>2350</v>
      </c>
      <c r="G469" s="12" t="s">
        <v>2351</v>
      </c>
      <c r="H469" s="12" t="s">
        <v>2352</v>
      </c>
      <c r="I469" s="4" t="s">
        <v>40</v>
      </c>
      <c r="J469" s="6" t="s">
        <v>41</v>
      </c>
      <c r="K469" s="8" t="s">
        <v>111</v>
      </c>
      <c r="L469" s="8" t="s">
        <v>103</v>
      </c>
      <c r="M469" s="25" t="s">
        <v>2332</v>
      </c>
      <c r="N469" s="25" t="s">
        <v>2353</v>
      </c>
      <c r="O469" s="12" t="s">
        <v>41</v>
      </c>
    </row>
    <row r="470" spans="1:15" ht="43.5" x14ac:dyDescent="0.35">
      <c r="A470" s="29">
        <v>916</v>
      </c>
      <c r="B470" s="7" t="s">
        <v>46</v>
      </c>
      <c r="C470" s="12" t="s">
        <v>176</v>
      </c>
      <c r="D470" s="12" t="s">
        <v>2354</v>
      </c>
      <c r="E470" s="4" t="s">
        <v>2355</v>
      </c>
      <c r="F470" s="4" t="s">
        <v>2355</v>
      </c>
      <c r="G470" s="12" t="s">
        <v>2356</v>
      </c>
      <c r="H470" s="12" t="s">
        <v>2357</v>
      </c>
      <c r="I470" s="4" t="s">
        <v>40</v>
      </c>
      <c r="J470" s="6" t="s">
        <v>41</v>
      </c>
      <c r="K470" s="8" t="s">
        <v>2358</v>
      </c>
      <c r="L470" s="8" t="s">
        <v>59</v>
      </c>
      <c r="M470" s="25" t="s">
        <v>2332</v>
      </c>
      <c r="N470" s="25" t="s">
        <v>2359</v>
      </c>
      <c r="O470" s="12" t="s">
        <v>41</v>
      </c>
    </row>
    <row r="471" spans="1:15" ht="43.5" x14ac:dyDescent="0.35">
      <c r="A471" s="29">
        <v>917</v>
      </c>
      <c r="B471" s="7" t="s">
        <v>46</v>
      </c>
      <c r="C471" s="12" t="s">
        <v>176</v>
      </c>
      <c r="D471" s="12" t="s">
        <v>2360</v>
      </c>
      <c r="E471" s="4" t="s">
        <v>2361</v>
      </c>
      <c r="F471" s="4" t="s">
        <v>2361</v>
      </c>
      <c r="G471" s="12" t="s">
        <v>2362</v>
      </c>
      <c r="H471" s="12" t="s">
        <v>2363</v>
      </c>
      <c r="I471" s="4" t="s">
        <v>40</v>
      </c>
      <c r="J471" s="6" t="s">
        <v>41</v>
      </c>
      <c r="K471" s="8" t="s">
        <v>2364</v>
      </c>
      <c r="L471" s="8" t="s">
        <v>59</v>
      </c>
      <c r="M471" s="25" t="s">
        <v>2332</v>
      </c>
      <c r="N471" s="25" t="s">
        <v>2365</v>
      </c>
      <c r="O471" s="12" t="s">
        <v>41</v>
      </c>
    </row>
    <row r="472" spans="1:15" ht="43.5" x14ac:dyDescent="0.35">
      <c r="A472" s="29">
        <v>895</v>
      </c>
      <c r="B472" s="7" t="s">
        <v>46</v>
      </c>
      <c r="C472" s="12" t="s">
        <v>34</v>
      </c>
      <c r="D472" s="12" t="s">
        <v>2366</v>
      </c>
      <c r="E472" s="4" t="s">
        <v>2367</v>
      </c>
      <c r="F472" s="4" t="s">
        <v>2367</v>
      </c>
      <c r="G472" s="12" t="s">
        <v>2368</v>
      </c>
      <c r="H472" s="12" t="s">
        <v>2369</v>
      </c>
      <c r="I472" s="4" t="s">
        <v>40</v>
      </c>
      <c r="J472" s="6" t="s">
        <v>41</v>
      </c>
      <c r="K472" s="8" t="s">
        <v>2370</v>
      </c>
      <c r="L472" s="8" t="s">
        <v>43</v>
      </c>
      <c r="M472" s="25" t="s">
        <v>236</v>
      </c>
      <c r="N472" s="25" t="s">
        <v>2371</v>
      </c>
      <c r="O472" s="12" t="s">
        <v>41</v>
      </c>
    </row>
    <row r="473" spans="1:15" ht="43.5" x14ac:dyDescent="0.35">
      <c r="A473" s="29">
        <v>896</v>
      </c>
      <c r="B473" s="7" t="s">
        <v>46</v>
      </c>
      <c r="C473" s="12" t="s">
        <v>34</v>
      </c>
      <c r="D473" s="12" t="s">
        <v>2372</v>
      </c>
      <c r="E473" s="4" t="s">
        <v>2373</v>
      </c>
      <c r="F473" s="4" t="s">
        <v>2373</v>
      </c>
      <c r="G473" s="12" t="s">
        <v>2374</v>
      </c>
      <c r="H473" s="12" t="s">
        <v>2375</v>
      </c>
      <c r="I473" s="4" t="s">
        <v>40</v>
      </c>
      <c r="J473" s="6" t="s">
        <v>41</v>
      </c>
      <c r="K473" s="8" t="s">
        <v>2376</v>
      </c>
      <c r="L473" s="8" t="s">
        <v>2377</v>
      </c>
      <c r="M473" s="25" t="s">
        <v>236</v>
      </c>
      <c r="N473" s="25" t="s">
        <v>2378</v>
      </c>
      <c r="O473" s="12" t="s">
        <v>41</v>
      </c>
    </row>
    <row r="474" spans="1:15" ht="43.5" x14ac:dyDescent="0.35">
      <c r="A474" s="29">
        <v>897</v>
      </c>
      <c r="B474" s="7" t="s">
        <v>46</v>
      </c>
      <c r="C474" s="12" t="s">
        <v>34</v>
      </c>
      <c r="D474" s="12" t="s">
        <v>2379</v>
      </c>
      <c r="E474" s="4" t="s">
        <v>2380</v>
      </c>
      <c r="F474" s="4" t="s">
        <v>2380</v>
      </c>
      <c r="G474" s="12" t="s">
        <v>2381</v>
      </c>
      <c r="H474" s="12" t="s">
        <v>2382</v>
      </c>
      <c r="I474" s="4" t="s">
        <v>40</v>
      </c>
      <c r="J474" s="6" t="s">
        <v>41</v>
      </c>
      <c r="K474" s="8" t="s">
        <v>210</v>
      </c>
      <c r="L474" s="8" t="s">
        <v>43</v>
      </c>
      <c r="M474" s="25" t="s">
        <v>236</v>
      </c>
      <c r="N474" s="25" t="s">
        <v>2383</v>
      </c>
      <c r="O474" s="12" t="s">
        <v>41</v>
      </c>
    </row>
    <row r="475" spans="1:15" ht="43.5" x14ac:dyDescent="0.35">
      <c r="A475" s="29">
        <v>898</v>
      </c>
      <c r="B475" s="7" t="s">
        <v>46</v>
      </c>
      <c r="C475" s="12" t="s">
        <v>34</v>
      </c>
      <c r="D475" s="12" t="s">
        <v>2384</v>
      </c>
      <c r="E475" s="4" t="s">
        <v>2385</v>
      </c>
      <c r="F475" s="4" t="s">
        <v>2385</v>
      </c>
      <c r="G475" s="12" t="s">
        <v>2386</v>
      </c>
      <c r="H475" s="12" t="s">
        <v>2386</v>
      </c>
      <c r="I475" s="4" t="s">
        <v>40</v>
      </c>
      <c r="J475" s="6" t="s">
        <v>41</v>
      </c>
      <c r="K475" s="8" t="s">
        <v>2387</v>
      </c>
      <c r="L475" s="8" t="s">
        <v>2377</v>
      </c>
      <c r="M475" s="25" t="s">
        <v>236</v>
      </c>
      <c r="N475" s="25" t="s">
        <v>2388</v>
      </c>
      <c r="O475" s="12" t="s">
        <v>41</v>
      </c>
    </row>
    <row r="476" spans="1:15" ht="43.5" x14ac:dyDescent="0.35">
      <c r="A476" s="29">
        <v>821</v>
      </c>
      <c r="B476" s="7" t="s">
        <v>46</v>
      </c>
      <c r="C476" s="12" t="s">
        <v>34</v>
      </c>
      <c r="D476" s="12" t="s">
        <v>2389</v>
      </c>
      <c r="E476" s="4" t="s">
        <v>2390</v>
      </c>
      <c r="F476" s="4" t="s">
        <v>2390</v>
      </c>
      <c r="G476" s="12" t="s">
        <v>2391</v>
      </c>
      <c r="H476" s="12" t="s">
        <v>2391</v>
      </c>
      <c r="I476" s="4" t="s">
        <v>40</v>
      </c>
      <c r="J476" s="6" t="s">
        <v>41</v>
      </c>
      <c r="K476" s="8" t="s">
        <v>857</v>
      </c>
      <c r="L476" s="8" t="s">
        <v>43</v>
      </c>
      <c r="M476" s="25" t="s">
        <v>236</v>
      </c>
      <c r="N476" s="25" t="s">
        <v>2392</v>
      </c>
      <c r="O476" s="12" t="s">
        <v>41</v>
      </c>
    </row>
    <row r="477" spans="1:15" ht="43.5" x14ac:dyDescent="0.35">
      <c r="A477" s="29">
        <v>905</v>
      </c>
      <c r="B477" s="7" t="s">
        <v>46</v>
      </c>
      <c r="C477" s="12" t="s">
        <v>34</v>
      </c>
      <c r="D477" s="12" t="s">
        <v>2393</v>
      </c>
      <c r="E477" s="4" t="s">
        <v>2394</v>
      </c>
      <c r="F477" s="4" t="s">
        <v>2394</v>
      </c>
      <c r="G477" s="12" t="s">
        <v>2395</v>
      </c>
      <c r="H477" s="12" t="s">
        <v>2396</v>
      </c>
      <c r="I477" s="4" t="s">
        <v>40</v>
      </c>
      <c r="J477" s="6" t="s">
        <v>41</v>
      </c>
      <c r="K477" s="8" t="s">
        <v>2397</v>
      </c>
      <c r="L477" s="8" t="s">
        <v>43</v>
      </c>
      <c r="M477" s="25" t="s">
        <v>236</v>
      </c>
      <c r="N477" s="25" t="s">
        <v>2398</v>
      </c>
      <c r="O477" s="12" t="s">
        <v>41</v>
      </c>
    </row>
    <row r="478" spans="1:15" ht="43.5" x14ac:dyDescent="0.35">
      <c r="A478" s="29">
        <v>629</v>
      </c>
      <c r="B478" s="7" t="s">
        <v>46</v>
      </c>
      <c r="C478" s="12" t="s">
        <v>34</v>
      </c>
      <c r="D478" s="12" t="s">
        <v>2399</v>
      </c>
      <c r="E478" s="4" t="s">
        <v>2400</v>
      </c>
      <c r="F478" s="4" t="s">
        <v>2400</v>
      </c>
      <c r="G478" s="12" t="s">
        <v>2401</v>
      </c>
      <c r="H478" s="12" t="s">
        <v>2402</v>
      </c>
      <c r="I478" s="4" t="s">
        <v>40</v>
      </c>
      <c r="J478" s="6" t="s">
        <v>41</v>
      </c>
      <c r="K478" s="8" t="s">
        <v>2403</v>
      </c>
      <c r="L478" s="8" t="s">
        <v>2377</v>
      </c>
      <c r="M478" s="25" t="s">
        <v>236</v>
      </c>
      <c r="N478" s="25" t="s">
        <v>2404</v>
      </c>
      <c r="O478" s="12" t="s">
        <v>41</v>
      </c>
    </row>
    <row r="479" spans="1:15" ht="43.5" x14ac:dyDescent="0.35">
      <c r="A479" s="29">
        <v>954</v>
      </c>
      <c r="B479" s="7" t="s">
        <v>46</v>
      </c>
      <c r="C479" s="12" t="s">
        <v>778</v>
      </c>
      <c r="D479" s="12" t="s">
        <v>2405</v>
      </c>
      <c r="E479" s="4" t="s">
        <v>2406</v>
      </c>
      <c r="F479" s="4" t="s">
        <v>2406</v>
      </c>
      <c r="G479" s="12" t="s">
        <v>2407</v>
      </c>
      <c r="H479" s="12" t="s">
        <v>2408</v>
      </c>
      <c r="I479" s="4" t="s">
        <v>40</v>
      </c>
      <c r="J479" s="6" t="s">
        <v>41</v>
      </c>
      <c r="K479" s="8" t="s">
        <v>2409</v>
      </c>
      <c r="L479" s="8" t="s">
        <v>43</v>
      </c>
      <c r="M479" s="25" t="s">
        <v>782</v>
      </c>
      <c r="N479" s="25" t="s">
        <v>2410</v>
      </c>
      <c r="O479" s="12" t="s">
        <v>41</v>
      </c>
    </row>
    <row r="480" spans="1:15" ht="43.5" x14ac:dyDescent="0.35">
      <c r="A480" s="29">
        <v>964</v>
      </c>
      <c r="B480" s="7" t="s">
        <v>46</v>
      </c>
      <c r="C480" s="12" t="s">
        <v>778</v>
      </c>
      <c r="D480" s="12" t="s">
        <v>2411</v>
      </c>
      <c r="E480" s="4" t="s">
        <v>2412</v>
      </c>
      <c r="F480" s="4" t="s">
        <v>2412</v>
      </c>
      <c r="G480" s="12" t="s">
        <v>2413</v>
      </c>
      <c r="H480" s="12" t="s">
        <v>2414</v>
      </c>
      <c r="I480" s="4" t="s">
        <v>40</v>
      </c>
      <c r="J480" s="6" t="s">
        <v>41</v>
      </c>
      <c r="K480" s="8" t="s">
        <v>2415</v>
      </c>
      <c r="L480" s="8" t="s">
        <v>43</v>
      </c>
      <c r="M480" s="25" t="s">
        <v>782</v>
      </c>
      <c r="N480" s="25" t="s">
        <v>2416</v>
      </c>
      <c r="O480" s="12" t="s">
        <v>41</v>
      </c>
    </row>
    <row r="481" spans="1:15" ht="43.5" x14ac:dyDescent="0.35">
      <c r="A481" s="29">
        <v>907</v>
      </c>
      <c r="B481" s="7" t="s">
        <v>46</v>
      </c>
      <c r="C481" s="12" t="s">
        <v>778</v>
      </c>
      <c r="D481" s="12" t="s">
        <v>2417</v>
      </c>
      <c r="E481" s="4" t="s">
        <v>2418</v>
      </c>
      <c r="F481" s="4" t="s">
        <v>2418</v>
      </c>
      <c r="G481" s="12" t="s">
        <v>2419</v>
      </c>
      <c r="H481" s="12" t="s">
        <v>2420</v>
      </c>
      <c r="I481" s="4" t="s">
        <v>40</v>
      </c>
      <c r="J481" s="6" t="s">
        <v>41</v>
      </c>
      <c r="K481" s="8" t="s">
        <v>2421</v>
      </c>
      <c r="L481" s="8" t="s">
        <v>59</v>
      </c>
      <c r="M481" s="25" t="s">
        <v>782</v>
      </c>
      <c r="N481" s="25" t="s">
        <v>2422</v>
      </c>
      <c r="O481" s="12" t="s">
        <v>41</v>
      </c>
    </row>
    <row r="482" spans="1:15" ht="43.5" x14ac:dyDescent="0.35">
      <c r="A482" s="29">
        <v>888</v>
      </c>
      <c r="B482" s="7" t="s">
        <v>46</v>
      </c>
      <c r="C482" s="12" t="s">
        <v>1881</v>
      </c>
      <c r="D482" s="12" t="s">
        <v>2423</v>
      </c>
      <c r="E482" s="4" t="s">
        <v>2424</v>
      </c>
      <c r="F482" s="4" t="s">
        <v>2424</v>
      </c>
      <c r="G482" s="12" t="s">
        <v>2425</v>
      </c>
      <c r="H482" s="12" t="s">
        <v>2426</v>
      </c>
      <c r="I482" s="4" t="s">
        <v>40</v>
      </c>
      <c r="J482" s="6" t="s">
        <v>41</v>
      </c>
      <c r="K482" s="8" t="s">
        <v>2427</v>
      </c>
      <c r="L482" s="8" t="s">
        <v>59</v>
      </c>
      <c r="M482" s="25" t="s">
        <v>1885</v>
      </c>
      <c r="N482" s="25" t="s">
        <v>2428</v>
      </c>
      <c r="O482" s="12" t="s">
        <v>41</v>
      </c>
    </row>
    <row r="483" spans="1:15" ht="43.5" x14ac:dyDescent="0.35">
      <c r="A483" s="29">
        <v>889</v>
      </c>
      <c r="B483" s="7" t="s">
        <v>46</v>
      </c>
      <c r="C483" s="12" t="s">
        <v>1881</v>
      </c>
      <c r="D483" s="12" t="s">
        <v>2429</v>
      </c>
      <c r="E483" s="4" t="s">
        <v>2430</v>
      </c>
      <c r="F483" s="4" t="s">
        <v>2430</v>
      </c>
      <c r="G483" s="12" t="s">
        <v>2431</v>
      </c>
      <c r="H483" s="12" t="s">
        <v>2432</v>
      </c>
      <c r="I483" s="4" t="s">
        <v>40</v>
      </c>
      <c r="J483" s="6" t="s">
        <v>41</v>
      </c>
      <c r="K483" s="8" t="s">
        <v>2433</v>
      </c>
      <c r="L483" s="8" t="s">
        <v>59</v>
      </c>
      <c r="M483" s="25" t="s">
        <v>1885</v>
      </c>
      <c r="N483" s="25" t="s">
        <v>2434</v>
      </c>
      <c r="O483" s="12" t="s">
        <v>41</v>
      </c>
    </row>
    <row r="484" spans="1:15" x14ac:dyDescent="0.35">
      <c r="A484" s="29">
        <v>573</v>
      </c>
      <c r="B484" s="110" t="s">
        <v>46</v>
      </c>
      <c r="C484" s="125" t="s">
        <v>778</v>
      </c>
      <c r="D484" s="125" t="s">
        <v>2435</v>
      </c>
      <c r="E484" s="125" t="s">
        <v>2436</v>
      </c>
      <c r="F484" s="125" t="s">
        <v>2436</v>
      </c>
      <c r="G484" s="125" t="s">
        <v>2437</v>
      </c>
      <c r="H484" s="125" t="s">
        <v>2438</v>
      </c>
      <c r="I484" s="125" t="s">
        <v>460</v>
      </c>
      <c r="J484" s="133" t="s">
        <v>2439</v>
      </c>
      <c r="K484" s="133" t="s">
        <v>2440</v>
      </c>
      <c r="L484" s="133" t="s">
        <v>82</v>
      </c>
      <c r="M484" s="126" t="s">
        <v>2441</v>
      </c>
      <c r="N484" s="126" t="s">
        <v>2167</v>
      </c>
      <c r="O484" s="125" t="s">
        <v>41</v>
      </c>
    </row>
    <row r="485" spans="1:15" x14ac:dyDescent="0.35">
      <c r="A485" s="29">
        <v>808</v>
      </c>
      <c r="B485" s="110"/>
      <c r="C485" s="125"/>
      <c r="D485" s="125"/>
      <c r="E485" s="125"/>
      <c r="F485" s="125"/>
      <c r="G485" s="125"/>
      <c r="H485" s="125"/>
      <c r="I485" s="125"/>
      <c r="J485" s="125"/>
      <c r="K485" s="125"/>
      <c r="L485" s="125"/>
      <c r="M485" s="126"/>
      <c r="N485" s="126"/>
      <c r="O485" s="125"/>
    </row>
    <row r="486" spans="1:15" x14ac:dyDescent="0.35">
      <c r="A486" s="29">
        <v>900</v>
      </c>
      <c r="B486" s="110"/>
      <c r="C486" s="125"/>
      <c r="D486" s="125"/>
      <c r="E486" s="125"/>
      <c r="F486" s="125"/>
      <c r="G486" s="125"/>
      <c r="H486" s="125"/>
      <c r="I486" s="125"/>
      <c r="J486" s="125"/>
      <c r="K486" s="125"/>
      <c r="L486" s="125"/>
      <c r="M486" s="126"/>
      <c r="N486" s="126"/>
      <c r="O486" s="125"/>
    </row>
    <row r="487" spans="1:15" x14ac:dyDescent="0.35">
      <c r="A487" s="29">
        <v>901</v>
      </c>
      <c r="B487" s="110"/>
      <c r="C487" s="125"/>
      <c r="D487" s="125"/>
      <c r="E487" s="125"/>
      <c r="F487" s="125"/>
      <c r="G487" s="125"/>
      <c r="H487" s="125"/>
      <c r="I487" s="125"/>
      <c r="J487" s="125"/>
      <c r="K487" s="125"/>
      <c r="L487" s="125"/>
      <c r="M487" s="126"/>
      <c r="N487" s="126"/>
      <c r="O487" s="125"/>
    </row>
    <row r="488" spans="1:15" x14ac:dyDescent="0.35">
      <c r="A488" s="37">
        <v>902</v>
      </c>
      <c r="B488" s="111"/>
      <c r="C488" s="123"/>
      <c r="D488" s="123"/>
      <c r="E488" s="123"/>
      <c r="F488" s="123"/>
      <c r="G488" s="123"/>
      <c r="H488" s="123"/>
      <c r="I488" s="123"/>
      <c r="J488" s="123"/>
      <c r="K488" s="123"/>
      <c r="L488" s="123"/>
      <c r="M488" s="100"/>
      <c r="N488" s="100"/>
      <c r="O488" s="123"/>
    </row>
    <row r="489" spans="1:15" x14ac:dyDescent="0.35">
      <c r="A489" s="29">
        <v>698</v>
      </c>
      <c r="B489" s="111" t="s">
        <v>46</v>
      </c>
      <c r="C489" s="123" t="s">
        <v>778</v>
      </c>
      <c r="D489" s="123" t="s">
        <v>2442</v>
      </c>
      <c r="E489" s="123" t="s">
        <v>2443</v>
      </c>
      <c r="F489" s="123" t="s">
        <v>2443</v>
      </c>
      <c r="G489" s="123" t="s">
        <v>2444</v>
      </c>
      <c r="H489" s="123" t="s">
        <v>2445</v>
      </c>
      <c r="I489" s="123" t="s">
        <v>460</v>
      </c>
      <c r="J489" s="124" t="s">
        <v>2446</v>
      </c>
      <c r="K489" s="124" t="s">
        <v>2447</v>
      </c>
      <c r="L489" s="124" t="s">
        <v>82</v>
      </c>
      <c r="M489" s="100" t="s">
        <v>2448</v>
      </c>
      <c r="N489" s="100" t="s">
        <v>2443</v>
      </c>
      <c r="O489" s="123" t="s">
        <v>41</v>
      </c>
    </row>
    <row r="490" spans="1:15" x14ac:dyDescent="0.35">
      <c r="A490" s="29">
        <v>700</v>
      </c>
      <c r="B490" s="121"/>
      <c r="C490" s="113"/>
      <c r="D490" s="113"/>
      <c r="E490" s="113"/>
      <c r="F490" s="113"/>
      <c r="G490" s="113"/>
      <c r="H490" s="113"/>
      <c r="I490" s="113"/>
      <c r="J490" s="119"/>
      <c r="K490" s="119"/>
      <c r="L490" s="119"/>
      <c r="M490" s="101"/>
      <c r="N490" s="101"/>
      <c r="O490" s="113"/>
    </row>
    <row r="491" spans="1:15" ht="43.5" x14ac:dyDescent="0.35">
      <c r="A491" s="29">
        <v>4427</v>
      </c>
      <c r="B491" s="7" t="s">
        <v>46</v>
      </c>
      <c r="C491" s="12" t="s">
        <v>1336</v>
      </c>
      <c r="D491" s="12" t="s">
        <v>2449</v>
      </c>
      <c r="E491" s="4" t="s">
        <v>2450</v>
      </c>
      <c r="F491" s="4" t="s">
        <v>2450</v>
      </c>
      <c r="G491" s="12" t="s">
        <v>2451</v>
      </c>
      <c r="H491" s="12" t="s">
        <v>2452</v>
      </c>
      <c r="I491" s="4" t="s">
        <v>40</v>
      </c>
      <c r="J491" s="6" t="s">
        <v>41</v>
      </c>
      <c r="K491" s="8" t="s">
        <v>2453</v>
      </c>
      <c r="L491" s="8" t="s">
        <v>43</v>
      </c>
      <c r="M491" s="25" t="s">
        <v>1347</v>
      </c>
      <c r="N491" s="25" t="s">
        <v>2454</v>
      </c>
      <c r="O491" s="12" t="s">
        <v>41</v>
      </c>
    </row>
    <row r="492" spans="1:15" ht="43.5" x14ac:dyDescent="0.35">
      <c r="A492" s="29">
        <v>423</v>
      </c>
      <c r="B492" s="7" t="s">
        <v>46</v>
      </c>
      <c r="C492" s="12" t="s">
        <v>1336</v>
      </c>
      <c r="D492" s="12" t="s">
        <v>2455</v>
      </c>
      <c r="E492" s="4" t="s">
        <v>2456</v>
      </c>
      <c r="F492" s="4" t="s">
        <v>2456</v>
      </c>
      <c r="G492" s="12" t="s">
        <v>2457</v>
      </c>
      <c r="H492" s="12" t="s">
        <v>2458</v>
      </c>
      <c r="I492" s="4" t="s">
        <v>40</v>
      </c>
      <c r="J492" s="6" t="s">
        <v>41</v>
      </c>
      <c r="K492" s="8" t="s">
        <v>2459</v>
      </c>
      <c r="L492" s="8" t="s">
        <v>43</v>
      </c>
      <c r="M492" s="25" t="s">
        <v>1347</v>
      </c>
      <c r="N492" s="25" t="s">
        <v>2460</v>
      </c>
      <c r="O492" s="12" t="s">
        <v>41</v>
      </c>
    </row>
    <row r="493" spans="1:15" x14ac:dyDescent="0.35">
      <c r="A493" s="29">
        <v>976</v>
      </c>
      <c r="B493" s="86"/>
      <c r="C493" s="86"/>
      <c r="D493" s="85"/>
      <c r="E493" s="85"/>
      <c r="F493" s="85"/>
      <c r="G493" s="83"/>
      <c r="H493" s="85"/>
      <c r="I493" s="85"/>
      <c r="J493" s="83"/>
      <c r="K493" s="83"/>
      <c r="L493" s="83"/>
      <c r="M493" s="84"/>
      <c r="N493" s="84"/>
      <c r="O493" s="85"/>
    </row>
    <row r="494" spans="1:15" ht="43.5" x14ac:dyDescent="0.35">
      <c r="A494" s="29">
        <v>799</v>
      </c>
      <c r="B494" s="7" t="s">
        <v>46</v>
      </c>
      <c r="C494" s="12" t="s">
        <v>34</v>
      </c>
      <c r="D494" s="12" t="s">
        <v>2461</v>
      </c>
      <c r="E494" s="4" t="s">
        <v>914</v>
      </c>
      <c r="F494" s="4" t="s">
        <v>914</v>
      </c>
      <c r="G494" s="12" t="s">
        <v>2462</v>
      </c>
      <c r="H494" s="12" t="s">
        <v>2463</v>
      </c>
      <c r="I494" s="4" t="s">
        <v>40</v>
      </c>
      <c r="J494" s="6" t="s">
        <v>41</v>
      </c>
      <c r="K494" s="8" t="s">
        <v>2464</v>
      </c>
      <c r="L494" s="8" t="s">
        <v>43</v>
      </c>
      <c r="M494" s="25" t="s">
        <v>1679</v>
      </c>
      <c r="N494" s="25" t="s">
        <v>918</v>
      </c>
      <c r="O494" s="12" t="s">
        <v>41</v>
      </c>
    </row>
    <row r="495" spans="1:15" ht="43.5" x14ac:dyDescent="0.35">
      <c r="A495" s="29">
        <v>690</v>
      </c>
      <c r="B495" s="7" t="s">
        <v>46</v>
      </c>
      <c r="C495" s="12" t="s">
        <v>34</v>
      </c>
      <c r="D495" s="12" t="s">
        <v>2465</v>
      </c>
      <c r="E495" s="4" t="s">
        <v>2466</v>
      </c>
      <c r="F495" s="4" t="s">
        <v>2466</v>
      </c>
      <c r="G495" s="12" t="s">
        <v>2467</v>
      </c>
      <c r="H495" s="12" t="s">
        <v>2468</v>
      </c>
      <c r="I495" s="4" t="s">
        <v>460</v>
      </c>
      <c r="J495" s="6" t="s">
        <v>2469</v>
      </c>
      <c r="K495" s="8" t="s">
        <v>2470</v>
      </c>
      <c r="L495" s="8" t="s">
        <v>2377</v>
      </c>
      <c r="M495" s="25" t="s">
        <v>479</v>
      </c>
      <c r="N495" s="25" t="s">
        <v>2471</v>
      </c>
      <c r="O495" s="12" t="s">
        <v>41</v>
      </c>
    </row>
    <row r="496" spans="1:15" ht="43.5" x14ac:dyDescent="0.35">
      <c r="A496" s="29">
        <v>996</v>
      </c>
      <c r="B496" s="7" t="s">
        <v>46</v>
      </c>
      <c r="C496" s="12" t="s">
        <v>34</v>
      </c>
      <c r="D496" s="12" t="s">
        <v>2472</v>
      </c>
      <c r="E496" s="4" t="s">
        <v>2473</v>
      </c>
      <c r="F496" s="4" t="s">
        <v>2473</v>
      </c>
      <c r="G496" s="12" t="s">
        <v>2474</v>
      </c>
      <c r="H496" s="12" t="s">
        <v>2475</v>
      </c>
      <c r="I496" s="4" t="s">
        <v>460</v>
      </c>
      <c r="J496" s="6" t="s">
        <v>461</v>
      </c>
      <c r="K496" s="8" t="s">
        <v>2476</v>
      </c>
      <c r="L496" s="8" t="s">
        <v>43</v>
      </c>
      <c r="M496" s="25" t="s">
        <v>463</v>
      </c>
      <c r="N496" s="25" t="s">
        <v>2477</v>
      </c>
      <c r="O496" s="12" t="s">
        <v>41</v>
      </c>
    </row>
    <row r="497" spans="1:15" ht="43.5" x14ac:dyDescent="0.35">
      <c r="A497" s="29">
        <v>1013</v>
      </c>
      <c r="B497" s="7" t="s">
        <v>46</v>
      </c>
      <c r="C497" s="12" t="s">
        <v>34</v>
      </c>
      <c r="D497" s="12" t="s">
        <v>2478</v>
      </c>
      <c r="E497" s="4" t="s">
        <v>2479</v>
      </c>
      <c r="F497" s="4" t="s">
        <v>2479</v>
      </c>
      <c r="G497" s="12" t="s">
        <v>2480</v>
      </c>
      <c r="H497" s="12" t="s">
        <v>2481</v>
      </c>
      <c r="I497" s="4" t="s">
        <v>460</v>
      </c>
      <c r="J497" s="6" t="s">
        <v>2482</v>
      </c>
      <c r="K497" s="8" t="s">
        <v>2483</v>
      </c>
      <c r="L497" s="8" t="s">
        <v>59</v>
      </c>
      <c r="M497" s="25" t="s">
        <v>2484</v>
      </c>
      <c r="N497" s="25" t="s">
        <v>2479</v>
      </c>
      <c r="O497" s="12" t="s">
        <v>41</v>
      </c>
    </row>
    <row r="498" spans="1:15" ht="43.5" x14ac:dyDescent="0.35">
      <c r="A498" s="29">
        <v>997</v>
      </c>
      <c r="B498" s="7" t="s">
        <v>46</v>
      </c>
      <c r="C498" s="12" t="s">
        <v>34</v>
      </c>
      <c r="D498" s="12" t="s">
        <v>2485</v>
      </c>
      <c r="E498" s="4" t="s">
        <v>2486</v>
      </c>
      <c r="F498" s="4" t="s">
        <v>2486</v>
      </c>
      <c r="G498" s="12" t="s">
        <v>2487</v>
      </c>
      <c r="H498" s="12" t="s">
        <v>2488</v>
      </c>
      <c r="I498" s="4" t="s">
        <v>460</v>
      </c>
      <c r="J498" s="6" t="s">
        <v>461</v>
      </c>
      <c r="K498" s="8" t="s">
        <v>2489</v>
      </c>
      <c r="L498" s="8" t="s">
        <v>43</v>
      </c>
      <c r="M498" s="25" t="s">
        <v>463</v>
      </c>
      <c r="N498" s="25" t="s">
        <v>2490</v>
      </c>
      <c r="O498" s="12" t="s">
        <v>41</v>
      </c>
    </row>
    <row r="499" spans="1:15" ht="43.5" x14ac:dyDescent="0.35">
      <c r="A499" s="29">
        <v>394</v>
      </c>
      <c r="B499" s="7" t="s">
        <v>46</v>
      </c>
      <c r="C499" s="12" t="s">
        <v>778</v>
      </c>
      <c r="D499" s="12" t="s">
        <v>2491</v>
      </c>
      <c r="E499" s="4" t="s">
        <v>2492</v>
      </c>
      <c r="F499" s="4" t="s">
        <v>2492</v>
      </c>
      <c r="G499" s="12" t="s">
        <v>2493</v>
      </c>
      <c r="H499" s="12" t="s">
        <v>2494</v>
      </c>
      <c r="I499" s="4" t="s">
        <v>460</v>
      </c>
      <c r="J499" s="6" t="s">
        <v>41</v>
      </c>
      <c r="K499" s="8" t="s">
        <v>2495</v>
      </c>
      <c r="L499" s="8" t="s">
        <v>43</v>
      </c>
      <c r="M499" s="25" t="s">
        <v>2496</v>
      </c>
      <c r="N499" s="25" t="s">
        <v>2497</v>
      </c>
      <c r="O499" s="12" t="s">
        <v>41</v>
      </c>
    </row>
    <row r="500" spans="1:15" ht="29" x14ac:dyDescent="0.35">
      <c r="A500" s="29">
        <v>508</v>
      </c>
      <c r="B500" s="7" t="s">
        <v>46</v>
      </c>
      <c r="C500" s="12" t="s">
        <v>778</v>
      </c>
      <c r="D500" s="12" t="s">
        <v>2498</v>
      </c>
      <c r="E500" s="4" t="s">
        <v>2499</v>
      </c>
      <c r="F500" s="4" t="s">
        <v>2499</v>
      </c>
      <c r="G500" s="12" t="s">
        <v>2500</v>
      </c>
      <c r="H500" s="12" t="s">
        <v>2501</v>
      </c>
      <c r="I500" s="4" t="s">
        <v>460</v>
      </c>
      <c r="J500" s="6" t="s">
        <v>41</v>
      </c>
      <c r="K500" s="8">
        <v>1</v>
      </c>
      <c r="L500" s="8" t="s">
        <v>43</v>
      </c>
      <c r="M500" s="25" t="s">
        <v>2496</v>
      </c>
      <c r="N500" s="25" t="s">
        <v>2502</v>
      </c>
      <c r="O500" s="12" t="s">
        <v>41</v>
      </c>
    </row>
    <row r="501" spans="1:15" ht="43.5" x14ac:dyDescent="0.35">
      <c r="A501" s="29">
        <v>807</v>
      </c>
      <c r="B501" s="7" t="s">
        <v>46</v>
      </c>
      <c r="C501" s="12" t="s">
        <v>778</v>
      </c>
      <c r="D501" s="12" t="s">
        <v>2503</v>
      </c>
      <c r="E501" s="4" t="s">
        <v>2504</v>
      </c>
      <c r="F501" s="4" t="s">
        <v>2504</v>
      </c>
      <c r="G501" s="12" t="s">
        <v>2505</v>
      </c>
      <c r="H501" s="12" t="s">
        <v>2506</v>
      </c>
      <c r="I501" s="4" t="s">
        <v>460</v>
      </c>
      <c r="J501" s="6" t="s">
        <v>41</v>
      </c>
      <c r="K501" s="8" t="s">
        <v>2507</v>
      </c>
      <c r="L501" s="8" t="s">
        <v>43</v>
      </c>
      <c r="M501" s="25" t="s">
        <v>2496</v>
      </c>
      <c r="N501" s="25" t="s">
        <v>2508</v>
      </c>
      <c r="O501" s="12" t="s">
        <v>41</v>
      </c>
    </row>
    <row r="502" spans="1:15" ht="43.5" x14ac:dyDescent="0.35">
      <c r="A502" s="29">
        <v>574</v>
      </c>
      <c r="B502" s="7" t="s">
        <v>46</v>
      </c>
      <c r="C502" s="12" t="s">
        <v>778</v>
      </c>
      <c r="D502" s="12" t="s">
        <v>2509</v>
      </c>
      <c r="E502" s="4" t="s">
        <v>2510</v>
      </c>
      <c r="F502" s="4" t="s">
        <v>2510</v>
      </c>
      <c r="G502" s="12" t="s">
        <v>2511</v>
      </c>
      <c r="H502" s="12" t="s">
        <v>2512</v>
      </c>
      <c r="I502" s="4" t="s">
        <v>460</v>
      </c>
      <c r="J502" s="6" t="s">
        <v>41</v>
      </c>
      <c r="K502" s="8" t="s">
        <v>2513</v>
      </c>
      <c r="L502" s="8" t="s">
        <v>43</v>
      </c>
      <c r="M502" s="25" t="s">
        <v>2496</v>
      </c>
      <c r="N502" s="25" t="s">
        <v>2514</v>
      </c>
      <c r="O502" s="12" t="s">
        <v>41</v>
      </c>
    </row>
    <row r="503" spans="1:15" ht="43.5" x14ac:dyDescent="0.35">
      <c r="A503" s="29">
        <v>575</v>
      </c>
      <c r="B503" s="7" t="s">
        <v>46</v>
      </c>
      <c r="C503" s="12" t="s">
        <v>778</v>
      </c>
      <c r="D503" s="12" t="s">
        <v>2515</v>
      </c>
      <c r="E503" s="4" t="s">
        <v>2516</v>
      </c>
      <c r="F503" s="4" t="s">
        <v>2516</v>
      </c>
      <c r="G503" s="12" t="s">
        <v>2517</v>
      </c>
      <c r="H503" s="12" t="s">
        <v>2518</v>
      </c>
      <c r="I503" s="4" t="s">
        <v>460</v>
      </c>
      <c r="J503" s="6" t="s">
        <v>41</v>
      </c>
      <c r="K503" s="8" t="s">
        <v>2519</v>
      </c>
      <c r="L503" s="8" t="s">
        <v>43</v>
      </c>
      <c r="M503" s="25" t="s">
        <v>2496</v>
      </c>
      <c r="N503" s="25" t="s">
        <v>2520</v>
      </c>
      <c r="O503" s="12" t="s">
        <v>41</v>
      </c>
    </row>
    <row r="504" spans="1:15" ht="43.5" x14ac:dyDescent="0.35">
      <c r="A504" s="29">
        <v>576</v>
      </c>
      <c r="B504" s="7" t="s">
        <v>46</v>
      </c>
      <c r="C504" s="12" t="s">
        <v>778</v>
      </c>
      <c r="D504" s="12" t="s">
        <v>2521</v>
      </c>
      <c r="E504" s="4" t="s">
        <v>2522</v>
      </c>
      <c r="F504" s="4" t="s">
        <v>2522</v>
      </c>
      <c r="G504" s="12" t="s">
        <v>2523</v>
      </c>
      <c r="H504" s="12" t="s">
        <v>2524</v>
      </c>
      <c r="I504" s="4" t="s">
        <v>460</v>
      </c>
      <c r="J504" s="6" t="s">
        <v>41</v>
      </c>
      <c r="K504" s="8" t="s">
        <v>210</v>
      </c>
      <c r="L504" s="8" t="s">
        <v>43</v>
      </c>
      <c r="M504" s="25" t="s">
        <v>2496</v>
      </c>
      <c r="N504" s="25" t="s">
        <v>2525</v>
      </c>
      <c r="O504" s="12" t="s">
        <v>41</v>
      </c>
    </row>
    <row r="505" spans="1:15" ht="43.5" x14ac:dyDescent="0.35">
      <c r="A505" s="29">
        <v>975</v>
      </c>
      <c r="B505" s="7" t="s">
        <v>46</v>
      </c>
      <c r="C505" s="12" t="s">
        <v>53</v>
      </c>
      <c r="D505" s="12" t="s">
        <v>2526</v>
      </c>
      <c r="E505" s="4" t="s">
        <v>2527</v>
      </c>
      <c r="F505" s="4" t="s">
        <v>2527</v>
      </c>
      <c r="G505" s="12" t="s">
        <v>2528</v>
      </c>
      <c r="H505" s="12" t="s">
        <v>2529</v>
      </c>
      <c r="I505" s="4" t="s">
        <v>40</v>
      </c>
      <c r="J505" s="6" t="s">
        <v>41</v>
      </c>
      <c r="K505" s="8" t="s">
        <v>2530</v>
      </c>
      <c r="L505" s="8" t="s">
        <v>59</v>
      </c>
      <c r="M505" s="25" t="s">
        <v>1220</v>
      </c>
      <c r="N505" s="25" t="s">
        <v>2531</v>
      </c>
      <c r="O505" s="12" t="s">
        <v>41</v>
      </c>
    </row>
    <row r="506" spans="1:15" ht="43.5" x14ac:dyDescent="0.35">
      <c r="A506" s="29">
        <v>1010</v>
      </c>
      <c r="B506" s="7" t="s">
        <v>46</v>
      </c>
      <c r="C506" s="12" t="s">
        <v>1336</v>
      </c>
      <c r="D506" s="12" t="s">
        <v>2532</v>
      </c>
      <c r="E506" s="4" t="s">
        <v>2533</v>
      </c>
      <c r="F506" s="4" t="s">
        <v>2533</v>
      </c>
      <c r="G506" s="12" t="s">
        <v>2534</v>
      </c>
      <c r="H506" s="12" t="s">
        <v>2535</v>
      </c>
      <c r="I506" s="4" t="s">
        <v>40</v>
      </c>
      <c r="J506" s="6" t="s">
        <v>41</v>
      </c>
      <c r="K506" s="8" t="s">
        <v>2536</v>
      </c>
      <c r="L506" s="8" t="s">
        <v>43</v>
      </c>
      <c r="M506" s="25" t="s">
        <v>2537</v>
      </c>
      <c r="N506" s="25" t="s">
        <v>2538</v>
      </c>
      <c r="O506" s="12" t="s">
        <v>41</v>
      </c>
    </row>
    <row r="507" spans="1:15" ht="43.5" x14ac:dyDescent="0.35">
      <c r="A507" s="29">
        <v>918</v>
      </c>
      <c r="B507" s="7" t="s">
        <v>46</v>
      </c>
      <c r="C507" s="12" t="s">
        <v>1336</v>
      </c>
      <c r="D507" s="12" t="s">
        <v>2539</v>
      </c>
      <c r="E507" s="4" t="s">
        <v>2540</v>
      </c>
      <c r="F507" s="4" t="s">
        <v>2540</v>
      </c>
      <c r="G507" s="12" t="s">
        <v>2541</v>
      </c>
      <c r="H507" s="12" t="s">
        <v>2542</v>
      </c>
      <c r="I507" s="4" t="s">
        <v>40</v>
      </c>
      <c r="J507" s="6" t="s">
        <v>41</v>
      </c>
      <c r="K507" s="8" t="s">
        <v>2543</v>
      </c>
      <c r="L507" s="8" t="s">
        <v>43</v>
      </c>
      <c r="M507" s="25" t="s">
        <v>2544</v>
      </c>
      <c r="N507" s="25" t="s">
        <v>2545</v>
      </c>
      <c r="O507" s="12" t="s">
        <v>41</v>
      </c>
    </row>
    <row r="508" spans="1:15" ht="43.5" x14ac:dyDescent="0.35">
      <c r="A508" s="29">
        <v>633</v>
      </c>
      <c r="B508" s="7" t="s">
        <v>46</v>
      </c>
      <c r="C508" s="12" t="s">
        <v>1336</v>
      </c>
      <c r="D508" s="12" t="s">
        <v>2546</v>
      </c>
      <c r="E508" s="4" t="s">
        <v>2547</v>
      </c>
      <c r="F508" s="4" t="s">
        <v>2547</v>
      </c>
      <c r="G508" s="12" t="s">
        <v>2548</v>
      </c>
      <c r="H508" s="12" t="s">
        <v>2549</v>
      </c>
      <c r="I508" s="4" t="s">
        <v>40</v>
      </c>
      <c r="J508" s="6" t="s">
        <v>41</v>
      </c>
      <c r="K508" s="8" t="s">
        <v>2550</v>
      </c>
      <c r="L508" s="8" t="s">
        <v>43</v>
      </c>
      <c r="M508" s="25" t="s">
        <v>1347</v>
      </c>
      <c r="N508" s="25" t="s">
        <v>2551</v>
      </c>
      <c r="O508" s="12" t="s">
        <v>41</v>
      </c>
    </row>
    <row r="509" spans="1:15" ht="43.5" x14ac:dyDescent="0.35">
      <c r="A509" s="29">
        <v>1092</v>
      </c>
      <c r="B509" s="7" t="s">
        <v>46</v>
      </c>
      <c r="C509" s="12" t="s">
        <v>1881</v>
      </c>
      <c r="D509" s="12" t="s">
        <v>2552</v>
      </c>
      <c r="E509" s="4" t="s">
        <v>2553</v>
      </c>
      <c r="F509" s="4" t="s">
        <v>2553</v>
      </c>
      <c r="G509" s="12" t="s">
        <v>2554</v>
      </c>
      <c r="H509" s="12" t="s">
        <v>2555</v>
      </c>
      <c r="I509" s="4" t="s">
        <v>40</v>
      </c>
      <c r="J509" s="6" t="s">
        <v>41</v>
      </c>
      <c r="K509" s="8" t="s">
        <v>2556</v>
      </c>
      <c r="L509" s="8" t="s">
        <v>59</v>
      </c>
      <c r="M509" s="25" t="s">
        <v>1885</v>
      </c>
      <c r="N509" s="25" t="s">
        <v>2557</v>
      </c>
      <c r="O509" s="12" t="s">
        <v>41</v>
      </c>
    </row>
    <row r="510" spans="1:15" ht="43.5" x14ac:dyDescent="0.35">
      <c r="A510" s="29">
        <v>1094</v>
      </c>
      <c r="B510" s="7" t="s">
        <v>46</v>
      </c>
      <c r="C510" s="12" t="s">
        <v>1881</v>
      </c>
      <c r="D510" s="12" t="s">
        <v>2558</v>
      </c>
      <c r="E510" s="4" t="s">
        <v>2559</v>
      </c>
      <c r="F510" s="4" t="s">
        <v>2559</v>
      </c>
      <c r="G510" s="12" t="s">
        <v>2560</v>
      </c>
      <c r="H510" s="12" t="s">
        <v>2555</v>
      </c>
      <c r="I510" s="4" t="s">
        <v>40</v>
      </c>
      <c r="J510" s="6" t="s">
        <v>41</v>
      </c>
      <c r="K510" s="8" t="s">
        <v>2561</v>
      </c>
      <c r="L510" s="8" t="s">
        <v>59</v>
      </c>
      <c r="M510" s="25" t="s">
        <v>1885</v>
      </c>
      <c r="N510" s="25" t="s">
        <v>2562</v>
      </c>
      <c r="O510" s="12" t="s">
        <v>41</v>
      </c>
    </row>
    <row r="511" spans="1:15" ht="43.5" x14ac:dyDescent="0.35">
      <c r="A511" s="29">
        <v>1096</v>
      </c>
      <c r="B511" s="7" t="s">
        <v>46</v>
      </c>
      <c r="C511" s="12" t="s">
        <v>1881</v>
      </c>
      <c r="D511" s="12" t="s">
        <v>2563</v>
      </c>
      <c r="E511" s="4" t="s">
        <v>2564</v>
      </c>
      <c r="F511" s="4" t="s">
        <v>2564</v>
      </c>
      <c r="G511" s="12" t="s">
        <v>2565</v>
      </c>
      <c r="H511" s="12" t="s">
        <v>2555</v>
      </c>
      <c r="I511" s="4" t="s">
        <v>40</v>
      </c>
      <c r="J511" s="6" t="s">
        <v>41</v>
      </c>
      <c r="K511" s="8" t="s">
        <v>2566</v>
      </c>
      <c r="L511" s="8" t="s">
        <v>59</v>
      </c>
      <c r="M511" s="25" t="s">
        <v>1885</v>
      </c>
      <c r="N511" s="25" t="s">
        <v>2567</v>
      </c>
      <c r="O511" s="12" t="s">
        <v>41</v>
      </c>
    </row>
    <row r="512" spans="1:15" ht="43.5" x14ac:dyDescent="0.35">
      <c r="A512" s="29">
        <v>957</v>
      </c>
      <c r="B512" s="7" t="s">
        <v>46</v>
      </c>
      <c r="C512" s="12" t="s">
        <v>778</v>
      </c>
      <c r="D512" s="12" t="s">
        <v>2568</v>
      </c>
      <c r="E512" s="4" t="s">
        <v>2569</v>
      </c>
      <c r="F512" s="4" t="s">
        <v>2569</v>
      </c>
      <c r="G512" s="12" t="s">
        <v>2570</v>
      </c>
      <c r="H512" s="12" t="s">
        <v>2571</v>
      </c>
      <c r="I512" s="4" t="s">
        <v>40</v>
      </c>
      <c r="J512" s="6" t="s">
        <v>41</v>
      </c>
      <c r="K512" s="8" t="s">
        <v>2572</v>
      </c>
      <c r="L512" s="8" t="s">
        <v>43</v>
      </c>
      <c r="M512" s="25" t="s">
        <v>782</v>
      </c>
      <c r="N512" s="25" t="s">
        <v>2573</v>
      </c>
      <c r="O512" s="12" t="s">
        <v>41</v>
      </c>
    </row>
    <row r="513" spans="1:15" ht="43.5" x14ac:dyDescent="0.35">
      <c r="A513" s="29">
        <v>608</v>
      </c>
      <c r="B513" s="7" t="s">
        <v>46</v>
      </c>
      <c r="C513" s="12" t="s">
        <v>1336</v>
      </c>
      <c r="D513" s="12" t="s">
        <v>2574</v>
      </c>
      <c r="E513" s="4" t="s">
        <v>2575</v>
      </c>
      <c r="F513" s="4" t="s">
        <v>2575</v>
      </c>
      <c r="G513" s="12" t="s">
        <v>2576</v>
      </c>
      <c r="H513" s="12" t="s">
        <v>2577</v>
      </c>
      <c r="I513" s="4" t="s">
        <v>40</v>
      </c>
      <c r="J513" s="6" t="s">
        <v>41</v>
      </c>
      <c r="K513" s="8" t="s">
        <v>2578</v>
      </c>
      <c r="L513" s="8" t="s">
        <v>43</v>
      </c>
      <c r="M513" s="25" t="s">
        <v>1347</v>
      </c>
      <c r="N513" s="25" t="s">
        <v>2579</v>
      </c>
      <c r="O513" s="12" t="s">
        <v>41</v>
      </c>
    </row>
    <row r="514" spans="1:15" ht="43.5" x14ac:dyDescent="0.35">
      <c r="A514" s="29">
        <v>679</v>
      </c>
      <c r="B514" s="7" t="s">
        <v>46</v>
      </c>
      <c r="C514" s="12" t="s">
        <v>1336</v>
      </c>
      <c r="D514" s="12" t="s">
        <v>2580</v>
      </c>
      <c r="E514" s="4" t="s">
        <v>2581</v>
      </c>
      <c r="F514" s="4" t="s">
        <v>2581</v>
      </c>
      <c r="G514" s="12" t="s">
        <v>2582</v>
      </c>
      <c r="H514" s="12" t="s">
        <v>2583</v>
      </c>
      <c r="I514" s="4" t="s">
        <v>40</v>
      </c>
      <c r="J514" s="6" t="s">
        <v>41</v>
      </c>
      <c r="K514" s="8" t="s">
        <v>2584</v>
      </c>
      <c r="L514" s="8" t="s">
        <v>43</v>
      </c>
      <c r="M514" s="25" t="s">
        <v>1347</v>
      </c>
      <c r="N514" s="25" t="s">
        <v>2585</v>
      </c>
      <c r="O514" s="12" t="s">
        <v>41</v>
      </c>
    </row>
    <row r="515" spans="1:15" ht="43.5" x14ac:dyDescent="0.35">
      <c r="A515" s="29">
        <v>405</v>
      </c>
      <c r="B515" s="7" t="s">
        <v>46</v>
      </c>
      <c r="C515" s="12" t="s">
        <v>77</v>
      </c>
      <c r="D515" s="12" t="s">
        <v>2586</v>
      </c>
      <c r="E515" s="4" t="s">
        <v>2587</v>
      </c>
      <c r="F515" s="4" t="s">
        <v>2587</v>
      </c>
      <c r="G515" s="12" t="s">
        <v>2588</v>
      </c>
      <c r="H515" s="12" t="s">
        <v>2589</v>
      </c>
      <c r="I515" s="4" t="s">
        <v>40</v>
      </c>
      <c r="J515" s="6" t="s">
        <v>41</v>
      </c>
      <c r="K515" s="8" t="s">
        <v>2590</v>
      </c>
      <c r="L515" s="8" t="s">
        <v>2377</v>
      </c>
      <c r="M515" s="25" t="s">
        <v>1190</v>
      </c>
      <c r="N515" s="25" t="s">
        <v>2591</v>
      </c>
      <c r="O515" s="12" t="s">
        <v>41</v>
      </c>
    </row>
    <row r="516" spans="1:15" ht="43.5" x14ac:dyDescent="0.35">
      <c r="A516" s="29">
        <v>987</v>
      </c>
      <c r="B516" s="7" t="s">
        <v>46</v>
      </c>
      <c r="C516" s="12" t="s">
        <v>77</v>
      </c>
      <c r="D516" s="12" t="s">
        <v>2592</v>
      </c>
      <c r="E516" s="4" t="s">
        <v>2593</v>
      </c>
      <c r="F516" s="4" t="s">
        <v>2593</v>
      </c>
      <c r="G516" s="12" t="s">
        <v>2594</v>
      </c>
      <c r="H516" s="12" t="s">
        <v>2595</v>
      </c>
      <c r="I516" s="4" t="s">
        <v>40</v>
      </c>
      <c r="J516" s="6" t="s">
        <v>41</v>
      </c>
      <c r="K516" s="8" t="s">
        <v>2596</v>
      </c>
      <c r="L516" s="8" t="s">
        <v>59</v>
      </c>
      <c r="M516" s="25" t="s">
        <v>1190</v>
      </c>
      <c r="N516" s="25" t="s">
        <v>1284</v>
      </c>
      <c r="O516" s="12" t="s">
        <v>41</v>
      </c>
    </row>
    <row r="517" spans="1:15" x14ac:dyDescent="0.35">
      <c r="A517" s="29">
        <v>858</v>
      </c>
      <c r="B517" s="7" t="s">
        <v>46</v>
      </c>
      <c r="C517" s="12" t="s">
        <v>77</v>
      </c>
      <c r="D517" s="12" t="s">
        <v>2597</v>
      </c>
      <c r="E517" s="4" t="s">
        <v>2598</v>
      </c>
      <c r="F517" s="4" t="s">
        <v>2598</v>
      </c>
      <c r="G517" s="12" t="s">
        <v>2599</v>
      </c>
      <c r="H517" s="12" t="s">
        <v>2600</v>
      </c>
      <c r="I517" s="4" t="s">
        <v>40</v>
      </c>
      <c r="J517" s="6" t="s">
        <v>41</v>
      </c>
      <c r="K517" s="8" t="s">
        <v>111</v>
      </c>
      <c r="L517" s="8" t="s">
        <v>103</v>
      </c>
      <c r="M517" s="25" t="s">
        <v>1190</v>
      </c>
      <c r="N517" s="25" t="s">
        <v>2601</v>
      </c>
      <c r="O517" s="12" t="s">
        <v>41</v>
      </c>
    </row>
    <row r="518" spans="1:15" ht="43.5" x14ac:dyDescent="0.35">
      <c r="A518" s="29">
        <v>887</v>
      </c>
      <c r="B518" s="7" t="s">
        <v>46</v>
      </c>
      <c r="C518" s="12" t="s">
        <v>77</v>
      </c>
      <c r="D518" s="12" t="s">
        <v>2602</v>
      </c>
      <c r="E518" s="4" t="s">
        <v>2603</v>
      </c>
      <c r="F518" s="4" t="s">
        <v>2603</v>
      </c>
      <c r="G518" s="12" t="s">
        <v>2604</v>
      </c>
      <c r="H518" s="12" t="s">
        <v>2605</v>
      </c>
      <c r="I518" s="4" t="s">
        <v>40</v>
      </c>
      <c r="J518" s="6" t="s">
        <v>41</v>
      </c>
      <c r="K518" s="8" t="s">
        <v>2606</v>
      </c>
      <c r="L518" s="8" t="s">
        <v>59</v>
      </c>
      <c r="M518" s="25" t="s">
        <v>1190</v>
      </c>
      <c r="N518" s="25" t="s">
        <v>2607</v>
      </c>
      <c r="O518" s="12" t="s">
        <v>41</v>
      </c>
    </row>
    <row r="519" spans="1:15" ht="43.5" x14ac:dyDescent="0.35">
      <c r="A519" s="29">
        <v>892</v>
      </c>
      <c r="B519" s="7" t="s">
        <v>46</v>
      </c>
      <c r="C519" s="12" t="s">
        <v>34</v>
      </c>
      <c r="D519" s="12" t="s">
        <v>2608</v>
      </c>
      <c r="E519" s="4" t="s">
        <v>2609</v>
      </c>
      <c r="F519" s="4" t="s">
        <v>2609</v>
      </c>
      <c r="G519" s="12" t="s">
        <v>2610</v>
      </c>
      <c r="H519" s="12" t="s">
        <v>2611</v>
      </c>
      <c r="I519" s="4" t="s">
        <v>40</v>
      </c>
      <c r="J519" s="6" t="s">
        <v>41</v>
      </c>
      <c r="K519" s="8" t="s">
        <v>2612</v>
      </c>
      <c r="L519" s="8" t="s">
        <v>43</v>
      </c>
      <c r="M519" s="25" t="s">
        <v>236</v>
      </c>
      <c r="N519" s="25" t="s">
        <v>2613</v>
      </c>
      <c r="O519" s="12" t="s">
        <v>41</v>
      </c>
    </row>
    <row r="520" spans="1:15" ht="43.5" x14ac:dyDescent="0.35">
      <c r="A520" s="29">
        <v>891</v>
      </c>
      <c r="B520" s="7" t="s">
        <v>46</v>
      </c>
      <c r="C520" s="12" t="s">
        <v>34</v>
      </c>
      <c r="D520" s="12" t="s">
        <v>2614</v>
      </c>
      <c r="E520" s="4" t="s">
        <v>2615</v>
      </c>
      <c r="F520" s="4" t="s">
        <v>2615</v>
      </c>
      <c r="G520" s="12" t="s">
        <v>2616</v>
      </c>
      <c r="H520" s="12" t="s">
        <v>2617</v>
      </c>
      <c r="I520" s="4" t="s">
        <v>40</v>
      </c>
      <c r="J520" s="6" t="s">
        <v>41</v>
      </c>
      <c r="K520" s="8" t="s">
        <v>2618</v>
      </c>
      <c r="L520" s="8" t="s">
        <v>43</v>
      </c>
      <c r="M520" s="25" t="s">
        <v>236</v>
      </c>
      <c r="N520" s="25" t="s">
        <v>2619</v>
      </c>
      <c r="O520" s="12" t="s">
        <v>41</v>
      </c>
    </row>
    <row r="521" spans="1:15" ht="43.5" x14ac:dyDescent="0.35">
      <c r="A521" s="29">
        <v>906</v>
      </c>
      <c r="B521" s="7" t="s">
        <v>46</v>
      </c>
      <c r="C521" s="12" t="s">
        <v>1336</v>
      </c>
      <c r="D521" s="12" t="s">
        <v>2620</v>
      </c>
      <c r="E521" s="4" t="s">
        <v>2621</v>
      </c>
      <c r="F521" s="4" t="s">
        <v>2621</v>
      </c>
      <c r="G521" s="12" t="s">
        <v>2622</v>
      </c>
      <c r="H521" s="12" t="s">
        <v>2623</v>
      </c>
      <c r="I521" s="4" t="s">
        <v>40</v>
      </c>
      <c r="J521" s="6" t="s">
        <v>41</v>
      </c>
      <c r="K521" s="8" t="s">
        <v>2624</v>
      </c>
      <c r="L521" s="8" t="s">
        <v>43</v>
      </c>
      <c r="M521" s="25" t="s">
        <v>1347</v>
      </c>
      <c r="N521" s="25" t="s">
        <v>2625</v>
      </c>
      <c r="O521" s="12" t="s">
        <v>41</v>
      </c>
    </row>
    <row r="522" spans="1:15" ht="43.5" x14ac:dyDescent="0.35">
      <c r="A522" s="29">
        <v>958</v>
      </c>
      <c r="B522" s="7" t="s">
        <v>46</v>
      </c>
      <c r="C522" s="12" t="s">
        <v>778</v>
      </c>
      <c r="D522" s="12" t="s">
        <v>2626</v>
      </c>
      <c r="E522" s="4" t="s">
        <v>2627</v>
      </c>
      <c r="F522" s="4" t="s">
        <v>2627</v>
      </c>
      <c r="G522" s="12" t="s">
        <v>2628</v>
      </c>
      <c r="H522" s="12" t="s">
        <v>2629</v>
      </c>
      <c r="I522" s="4" t="s">
        <v>40</v>
      </c>
      <c r="J522" s="6" t="s">
        <v>41</v>
      </c>
      <c r="K522" s="8" t="s">
        <v>2630</v>
      </c>
      <c r="L522" s="8" t="s">
        <v>1342</v>
      </c>
      <c r="M522" s="25" t="s">
        <v>782</v>
      </c>
      <c r="N522" s="25" t="s">
        <v>2631</v>
      </c>
      <c r="O522" s="12" t="s">
        <v>41</v>
      </c>
    </row>
    <row r="523" spans="1:15" ht="43.5" x14ac:dyDescent="0.35">
      <c r="A523" s="29">
        <v>956</v>
      </c>
      <c r="B523" s="7" t="s">
        <v>46</v>
      </c>
      <c r="C523" s="12" t="s">
        <v>778</v>
      </c>
      <c r="D523" s="12" t="s">
        <v>2632</v>
      </c>
      <c r="E523" s="4" t="s">
        <v>2633</v>
      </c>
      <c r="F523" s="4" t="s">
        <v>2633</v>
      </c>
      <c r="G523" s="12" t="s">
        <v>2634</v>
      </c>
      <c r="H523" s="12" t="s">
        <v>2635</v>
      </c>
      <c r="I523" s="4" t="s">
        <v>40</v>
      </c>
      <c r="J523" s="6" t="s">
        <v>41</v>
      </c>
      <c r="K523" s="8" t="s">
        <v>2636</v>
      </c>
      <c r="L523" s="8" t="s">
        <v>43</v>
      </c>
      <c r="M523" s="25" t="s">
        <v>782</v>
      </c>
      <c r="N523" s="25" t="s">
        <v>2637</v>
      </c>
      <c r="O523" s="12" t="s">
        <v>41</v>
      </c>
    </row>
    <row r="524" spans="1:15" ht="43.5" x14ac:dyDescent="0.35">
      <c r="A524" s="37">
        <v>955</v>
      </c>
      <c r="B524" s="11" t="s">
        <v>46</v>
      </c>
      <c r="C524" s="23" t="s">
        <v>778</v>
      </c>
      <c r="D524" s="23" t="s">
        <v>2638</v>
      </c>
      <c r="E524" s="9" t="s">
        <v>2639</v>
      </c>
      <c r="F524" s="9" t="s">
        <v>2639</v>
      </c>
      <c r="G524" s="12" t="s">
        <v>2640</v>
      </c>
      <c r="H524" s="23" t="s">
        <v>2641</v>
      </c>
      <c r="I524" s="9" t="s">
        <v>40</v>
      </c>
      <c r="J524" s="10" t="s">
        <v>41</v>
      </c>
      <c r="K524" s="36" t="s">
        <v>2642</v>
      </c>
      <c r="L524" s="36" t="s">
        <v>1342</v>
      </c>
      <c r="M524" s="35" t="s">
        <v>782</v>
      </c>
      <c r="N524" s="35" t="s">
        <v>2643</v>
      </c>
      <c r="O524" s="23" t="s">
        <v>41</v>
      </c>
    </row>
    <row r="525" spans="1:15" x14ac:dyDescent="0.35">
      <c r="A525" s="55">
        <v>697</v>
      </c>
      <c r="B525" s="102" t="s">
        <v>46</v>
      </c>
      <c r="C525" s="95" t="s">
        <v>778</v>
      </c>
      <c r="D525" s="95" t="s">
        <v>2644</v>
      </c>
      <c r="E525" s="103" t="s">
        <v>2645</v>
      </c>
      <c r="F525" s="103" t="s">
        <v>2645</v>
      </c>
      <c r="G525" s="104" t="s">
        <v>2646</v>
      </c>
      <c r="H525" s="95" t="s">
        <v>2647</v>
      </c>
      <c r="I525" s="103" t="s">
        <v>460</v>
      </c>
      <c r="J525" s="106" t="s">
        <v>538</v>
      </c>
      <c r="K525" s="96" t="s">
        <v>2648</v>
      </c>
      <c r="L525" s="96" t="s">
        <v>43</v>
      </c>
      <c r="M525" s="94" t="s">
        <v>2496</v>
      </c>
      <c r="N525" s="94" t="s">
        <v>2645</v>
      </c>
      <c r="O525" s="95" t="s">
        <v>41</v>
      </c>
    </row>
    <row r="526" spans="1:15" ht="14.5" customHeight="1" x14ac:dyDescent="0.35">
      <c r="A526" s="55">
        <v>699</v>
      </c>
      <c r="B526" s="102"/>
      <c r="C526" s="95"/>
      <c r="D526" s="95"/>
      <c r="E526" s="103"/>
      <c r="F526" s="103"/>
      <c r="G526" s="105"/>
      <c r="H526" s="95"/>
      <c r="I526" s="103"/>
      <c r="J526" s="106"/>
      <c r="K526" s="96"/>
      <c r="L526" s="96"/>
      <c r="M526" s="94"/>
      <c r="N526" s="94"/>
      <c r="O526" s="95"/>
    </row>
    <row r="527" spans="1:15" ht="43.5" x14ac:dyDescent="0.35">
      <c r="A527" s="29">
        <v>963</v>
      </c>
      <c r="B527" s="7" t="s">
        <v>46</v>
      </c>
      <c r="C527" s="12" t="s">
        <v>34</v>
      </c>
      <c r="D527" s="12" t="s">
        <v>2649</v>
      </c>
      <c r="E527" s="4" t="s">
        <v>2650</v>
      </c>
      <c r="F527" s="4" t="s">
        <v>2650</v>
      </c>
      <c r="G527" s="12" t="s">
        <v>2651</v>
      </c>
      <c r="H527" s="12" t="s">
        <v>2652</v>
      </c>
      <c r="I527" s="4" t="s">
        <v>40</v>
      </c>
      <c r="J527" s="6" t="s">
        <v>41</v>
      </c>
      <c r="K527" s="8" t="s">
        <v>2653</v>
      </c>
      <c r="L527" s="8" t="s">
        <v>43</v>
      </c>
      <c r="M527" s="25" t="s">
        <v>2654</v>
      </c>
      <c r="N527" s="25" t="s">
        <v>2655</v>
      </c>
      <c r="O527" s="12" t="s">
        <v>41</v>
      </c>
    </row>
    <row r="528" spans="1:15" ht="29" x14ac:dyDescent="0.35">
      <c r="A528" s="29">
        <v>974</v>
      </c>
      <c r="B528" s="7" t="s">
        <v>46</v>
      </c>
      <c r="C528" s="12" t="s">
        <v>2656</v>
      </c>
      <c r="D528" s="12" t="s">
        <v>2657</v>
      </c>
      <c r="E528" s="4" t="s">
        <v>2658</v>
      </c>
      <c r="F528" s="4" t="s">
        <v>2658</v>
      </c>
      <c r="G528" s="12" t="s">
        <v>2659</v>
      </c>
      <c r="H528" s="12" t="s">
        <v>2660</v>
      </c>
      <c r="I528" s="4" t="s">
        <v>40</v>
      </c>
      <c r="J528" s="6" t="s">
        <v>41</v>
      </c>
      <c r="K528" s="8" t="s">
        <v>2661</v>
      </c>
      <c r="L528" s="8" t="s">
        <v>103</v>
      </c>
      <c r="M528" s="25" t="s">
        <v>1117</v>
      </c>
      <c r="N528" s="25" t="s">
        <v>2662</v>
      </c>
      <c r="O528" s="12" t="s">
        <v>41</v>
      </c>
    </row>
    <row r="529" spans="1:15" ht="43.5" customHeight="1" x14ac:dyDescent="0.35">
      <c r="A529" s="29">
        <v>972</v>
      </c>
      <c r="B529" s="7" t="s">
        <v>46</v>
      </c>
      <c r="C529" s="12" t="s">
        <v>1336</v>
      </c>
      <c r="D529" s="12" t="s">
        <v>2663</v>
      </c>
      <c r="E529" s="4" t="s">
        <v>1561</v>
      </c>
      <c r="F529" s="4" t="s">
        <v>1561</v>
      </c>
      <c r="G529" s="12" t="s">
        <v>2664</v>
      </c>
      <c r="H529" s="12" t="s">
        <v>2665</v>
      </c>
      <c r="I529" s="4" t="s">
        <v>460</v>
      </c>
      <c r="J529" s="6" t="s">
        <v>41</v>
      </c>
      <c r="K529" s="8" t="s">
        <v>2666</v>
      </c>
      <c r="L529" s="8" t="s">
        <v>2377</v>
      </c>
      <c r="M529" s="25" t="s">
        <v>2667</v>
      </c>
      <c r="N529" s="25" t="s">
        <v>697</v>
      </c>
      <c r="O529" s="12" t="s">
        <v>41</v>
      </c>
    </row>
    <row r="530" spans="1:15" ht="43.5" x14ac:dyDescent="0.35">
      <c r="A530" s="29">
        <v>973</v>
      </c>
      <c r="B530" s="7" t="s">
        <v>46</v>
      </c>
      <c r="C530" s="12" t="s">
        <v>1336</v>
      </c>
      <c r="D530" s="12" t="s">
        <v>2668</v>
      </c>
      <c r="E530" s="4" t="s">
        <v>2669</v>
      </c>
      <c r="F530" s="4" t="s">
        <v>2669</v>
      </c>
      <c r="G530" s="12" t="s">
        <v>2670</v>
      </c>
      <c r="H530" s="12" t="s">
        <v>2665</v>
      </c>
      <c r="I530" s="4" t="s">
        <v>460</v>
      </c>
      <c r="J530" s="6" t="s">
        <v>41</v>
      </c>
      <c r="K530" s="6" t="s">
        <v>2671</v>
      </c>
      <c r="L530" s="8" t="s">
        <v>59</v>
      </c>
      <c r="M530" s="25" t="s">
        <v>2667</v>
      </c>
      <c r="N530" s="25" t="s">
        <v>2672</v>
      </c>
      <c r="O530" s="12" t="s">
        <v>41</v>
      </c>
    </row>
    <row r="531" spans="1:15" ht="43.5" x14ac:dyDescent="0.35">
      <c r="A531" s="29">
        <v>1047</v>
      </c>
      <c r="B531" s="7" t="s">
        <v>46</v>
      </c>
      <c r="C531" s="12" t="s">
        <v>2656</v>
      </c>
      <c r="D531" s="12" t="s">
        <v>2673</v>
      </c>
      <c r="E531" s="4" t="s">
        <v>2674</v>
      </c>
      <c r="F531" s="4" t="s">
        <v>2674</v>
      </c>
      <c r="G531" s="12" t="s">
        <v>2675</v>
      </c>
      <c r="H531" s="12" t="s">
        <v>2676</v>
      </c>
      <c r="I531" s="4" t="s">
        <v>40</v>
      </c>
      <c r="J531" s="6" t="s">
        <v>41</v>
      </c>
      <c r="K531" s="8" t="s">
        <v>2677</v>
      </c>
      <c r="L531" s="8" t="s">
        <v>59</v>
      </c>
      <c r="M531" s="25" t="s">
        <v>1117</v>
      </c>
      <c r="N531" s="25" t="s">
        <v>2678</v>
      </c>
      <c r="O531" s="12" t="s">
        <v>41</v>
      </c>
    </row>
    <row r="532" spans="1:15" ht="43.5" x14ac:dyDescent="0.35">
      <c r="A532" s="29">
        <v>1049</v>
      </c>
      <c r="B532" s="7" t="s">
        <v>46</v>
      </c>
      <c r="C532" s="12" t="s">
        <v>1336</v>
      </c>
      <c r="D532" s="12" t="s">
        <v>2679</v>
      </c>
      <c r="E532" s="4" t="s">
        <v>2680</v>
      </c>
      <c r="F532" s="4" t="s">
        <v>2680</v>
      </c>
      <c r="G532" s="12" t="s">
        <v>2681</v>
      </c>
      <c r="H532" s="12" t="s">
        <v>2682</v>
      </c>
      <c r="I532" s="4" t="s">
        <v>40</v>
      </c>
      <c r="J532" s="6" t="s">
        <v>41</v>
      </c>
      <c r="K532" s="8" t="s">
        <v>2683</v>
      </c>
      <c r="L532" s="8" t="s">
        <v>43</v>
      </c>
      <c r="M532" s="25" t="s">
        <v>2684</v>
      </c>
      <c r="N532" s="25" t="s">
        <v>2685</v>
      </c>
      <c r="O532" s="12" t="s">
        <v>41</v>
      </c>
    </row>
    <row r="533" spans="1:15" ht="43.5" x14ac:dyDescent="0.35">
      <c r="A533" s="29">
        <v>1050</v>
      </c>
      <c r="B533" s="7" t="s">
        <v>46</v>
      </c>
      <c r="C533" s="12" t="s">
        <v>2656</v>
      </c>
      <c r="D533" s="12" t="s">
        <v>2686</v>
      </c>
      <c r="E533" s="4" t="s">
        <v>2687</v>
      </c>
      <c r="F533" s="4" t="s">
        <v>2687</v>
      </c>
      <c r="G533" s="12" t="s">
        <v>2688</v>
      </c>
      <c r="H533" s="12" t="s">
        <v>2689</v>
      </c>
      <c r="I533" s="4" t="s">
        <v>40</v>
      </c>
      <c r="J533" s="6" t="s">
        <v>41</v>
      </c>
      <c r="K533" s="8" t="s">
        <v>2690</v>
      </c>
      <c r="L533" s="8" t="s">
        <v>59</v>
      </c>
      <c r="M533" s="25" t="s">
        <v>1117</v>
      </c>
      <c r="N533" s="25" t="s">
        <v>2691</v>
      </c>
      <c r="O533" s="12" t="s">
        <v>41</v>
      </c>
    </row>
    <row r="534" spans="1:15" ht="29" x14ac:dyDescent="0.35">
      <c r="A534" s="29">
        <v>949</v>
      </c>
      <c r="B534" s="7" t="s">
        <v>46</v>
      </c>
      <c r="C534" s="12" t="s">
        <v>2656</v>
      </c>
      <c r="D534" s="12" t="s">
        <v>2692</v>
      </c>
      <c r="E534" s="4" t="s">
        <v>2693</v>
      </c>
      <c r="F534" s="4" t="s">
        <v>2693</v>
      </c>
      <c r="G534" s="12" t="s">
        <v>2694</v>
      </c>
      <c r="H534" s="12" t="s">
        <v>2695</v>
      </c>
      <c r="I534" s="4" t="s">
        <v>40</v>
      </c>
      <c r="J534" s="6" t="s">
        <v>41</v>
      </c>
      <c r="K534" s="8" t="s">
        <v>2661</v>
      </c>
      <c r="L534" s="8" t="s">
        <v>103</v>
      </c>
      <c r="M534" s="25" t="s">
        <v>1117</v>
      </c>
      <c r="N534" s="25" t="s">
        <v>2696</v>
      </c>
      <c r="O534" s="12" t="s">
        <v>41</v>
      </c>
    </row>
    <row r="535" spans="1:15" ht="43.5" x14ac:dyDescent="0.35">
      <c r="A535" s="29">
        <v>967</v>
      </c>
      <c r="B535" s="7" t="s">
        <v>46</v>
      </c>
      <c r="C535" s="12" t="s">
        <v>2656</v>
      </c>
      <c r="D535" s="12" t="s">
        <v>2697</v>
      </c>
      <c r="E535" s="4" t="s">
        <v>2698</v>
      </c>
      <c r="F535" s="4" t="s">
        <v>2698</v>
      </c>
      <c r="G535" s="12" t="s">
        <v>2699</v>
      </c>
      <c r="H535" s="12" t="s">
        <v>2700</v>
      </c>
      <c r="I535" s="4" t="s">
        <v>40</v>
      </c>
      <c r="J535" s="6" t="s">
        <v>41</v>
      </c>
      <c r="K535" s="8" t="s">
        <v>2701</v>
      </c>
      <c r="L535" s="8" t="s">
        <v>59</v>
      </c>
      <c r="M535" s="25" t="s">
        <v>1117</v>
      </c>
      <c r="N535" s="25" t="s">
        <v>2698</v>
      </c>
      <c r="O535" s="12" t="s">
        <v>41</v>
      </c>
    </row>
    <row r="536" spans="1:15" ht="43.5" x14ac:dyDescent="0.35">
      <c r="A536" s="29">
        <v>968</v>
      </c>
      <c r="B536" s="7" t="s">
        <v>46</v>
      </c>
      <c r="C536" s="12" t="s">
        <v>2656</v>
      </c>
      <c r="D536" s="12" t="s">
        <v>2702</v>
      </c>
      <c r="E536" s="4" t="s">
        <v>2703</v>
      </c>
      <c r="F536" s="4" t="s">
        <v>2703</v>
      </c>
      <c r="G536" s="12" t="s">
        <v>2704</v>
      </c>
      <c r="H536" s="12" t="s">
        <v>2705</v>
      </c>
      <c r="I536" s="4" t="s">
        <v>40</v>
      </c>
      <c r="J536" s="6" t="s">
        <v>41</v>
      </c>
      <c r="K536" s="8" t="s">
        <v>2706</v>
      </c>
      <c r="L536" s="8" t="s">
        <v>59</v>
      </c>
      <c r="M536" s="25" t="s">
        <v>1117</v>
      </c>
      <c r="N536" s="25" t="s">
        <v>2703</v>
      </c>
      <c r="O536" s="12" t="s">
        <v>41</v>
      </c>
    </row>
    <row r="537" spans="1:15" ht="43.5" x14ac:dyDescent="0.35">
      <c r="A537" s="29">
        <v>969</v>
      </c>
      <c r="B537" s="7" t="s">
        <v>46</v>
      </c>
      <c r="C537" s="12" t="s">
        <v>2656</v>
      </c>
      <c r="D537" s="12" t="s">
        <v>2707</v>
      </c>
      <c r="E537" s="4" t="s">
        <v>2708</v>
      </c>
      <c r="F537" s="4" t="s">
        <v>2708</v>
      </c>
      <c r="G537" s="12" t="s">
        <v>2709</v>
      </c>
      <c r="H537" s="12" t="s">
        <v>2710</v>
      </c>
      <c r="I537" s="4" t="s">
        <v>40</v>
      </c>
      <c r="J537" s="6" t="s">
        <v>41</v>
      </c>
      <c r="K537" s="8" t="s">
        <v>2711</v>
      </c>
      <c r="L537" s="8" t="s">
        <v>2377</v>
      </c>
      <c r="M537" s="25" t="s">
        <v>1117</v>
      </c>
      <c r="N537" s="25" t="s">
        <v>2712</v>
      </c>
      <c r="O537" s="12" t="s">
        <v>41</v>
      </c>
    </row>
    <row r="538" spans="1:15" ht="29" x14ac:dyDescent="0.35">
      <c r="A538" s="29">
        <v>952</v>
      </c>
      <c r="B538" s="7" t="s">
        <v>46</v>
      </c>
      <c r="C538" s="12" t="s">
        <v>53</v>
      </c>
      <c r="D538" s="12" t="s">
        <v>2713</v>
      </c>
      <c r="E538" s="4" t="s">
        <v>2714</v>
      </c>
      <c r="F538" s="4" t="s">
        <v>2714</v>
      </c>
      <c r="G538" s="12" t="s">
        <v>2715</v>
      </c>
      <c r="H538" s="12" t="s">
        <v>2716</v>
      </c>
      <c r="I538" s="4" t="s">
        <v>40</v>
      </c>
      <c r="J538" s="6" t="s">
        <v>41</v>
      </c>
      <c r="K538" s="8" t="s">
        <v>2661</v>
      </c>
      <c r="L538" s="8" t="s">
        <v>103</v>
      </c>
      <c r="M538" s="25" t="s">
        <v>1220</v>
      </c>
      <c r="N538" s="25" t="s">
        <v>2717</v>
      </c>
      <c r="O538" s="12" t="s">
        <v>41</v>
      </c>
    </row>
    <row r="539" spans="1:15" ht="29" x14ac:dyDescent="0.35">
      <c r="A539" s="29">
        <v>961</v>
      </c>
      <c r="B539" s="7" t="s">
        <v>46</v>
      </c>
      <c r="C539" s="12" t="s">
        <v>77</v>
      </c>
      <c r="D539" s="12" t="s">
        <v>2718</v>
      </c>
      <c r="E539" s="4" t="s">
        <v>2719</v>
      </c>
      <c r="F539" s="4" t="s">
        <v>2719</v>
      </c>
      <c r="G539" s="12" t="s">
        <v>2720</v>
      </c>
      <c r="H539" s="12" t="s">
        <v>2721</v>
      </c>
      <c r="I539" s="4" t="s">
        <v>40</v>
      </c>
      <c r="J539" s="6" t="s">
        <v>41</v>
      </c>
      <c r="K539" s="8" t="s">
        <v>2722</v>
      </c>
      <c r="L539" s="8" t="s">
        <v>59</v>
      </c>
      <c r="M539" s="25" t="s">
        <v>1190</v>
      </c>
      <c r="N539" s="25" t="s">
        <v>2723</v>
      </c>
      <c r="O539" s="12" t="s">
        <v>41</v>
      </c>
    </row>
    <row r="540" spans="1:15" ht="43.5" x14ac:dyDescent="0.35">
      <c r="A540" s="29">
        <v>991</v>
      </c>
      <c r="B540" s="7" t="s">
        <v>46</v>
      </c>
      <c r="C540" s="12" t="s">
        <v>53</v>
      </c>
      <c r="D540" s="12" t="s">
        <v>2724</v>
      </c>
      <c r="E540" s="4" t="s">
        <v>2725</v>
      </c>
      <c r="F540" s="4" t="s">
        <v>2725</v>
      </c>
      <c r="G540" s="12" t="s">
        <v>2726</v>
      </c>
      <c r="H540" s="12" t="s">
        <v>2727</v>
      </c>
      <c r="I540" s="4" t="s">
        <v>40</v>
      </c>
      <c r="J540" s="6" t="s">
        <v>41</v>
      </c>
      <c r="K540" s="8" t="s">
        <v>2728</v>
      </c>
      <c r="L540" s="8" t="s">
        <v>43</v>
      </c>
      <c r="M540" s="25" t="s">
        <v>1347</v>
      </c>
      <c r="N540" s="25" t="s">
        <v>2729</v>
      </c>
      <c r="O540" s="12" t="s">
        <v>41</v>
      </c>
    </row>
    <row r="541" spans="1:15" ht="43.5" x14ac:dyDescent="0.35">
      <c r="A541" s="29">
        <v>992</v>
      </c>
      <c r="B541" s="7" t="s">
        <v>46</v>
      </c>
      <c r="C541" s="12" t="s">
        <v>53</v>
      </c>
      <c r="D541" s="12" t="s">
        <v>2730</v>
      </c>
      <c r="E541" s="4" t="s">
        <v>2731</v>
      </c>
      <c r="F541" s="4" t="s">
        <v>2731</v>
      </c>
      <c r="G541" s="12" t="s">
        <v>2732</v>
      </c>
      <c r="H541" s="12" t="s">
        <v>2733</v>
      </c>
      <c r="I541" s="4" t="s">
        <v>40</v>
      </c>
      <c r="J541" s="6" t="s">
        <v>41</v>
      </c>
      <c r="K541" s="8" t="s">
        <v>2734</v>
      </c>
      <c r="L541" s="8" t="s">
        <v>43</v>
      </c>
      <c r="M541" s="25" t="s">
        <v>1220</v>
      </c>
      <c r="N541" s="25" t="s">
        <v>2735</v>
      </c>
      <c r="O541" s="12" t="s">
        <v>41</v>
      </c>
    </row>
    <row r="542" spans="1:15" ht="43.5" x14ac:dyDescent="0.35">
      <c r="A542" s="37">
        <v>943</v>
      </c>
      <c r="B542" s="11" t="s">
        <v>46</v>
      </c>
      <c r="C542" s="23" t="s">
        <v>34</v>
      </c>
      <c r="D542" s="23" t="s">
        <v>2736</v>
      </c>
      <c r="E542" s="9" t="s">
        <v>2737</v>
      </c>
      <c r="F542" s="9" t="s">
        <v>2737</v>
      </c>
      <c r="G542" s="23" t="s">
        <v>2738</v>
      </c>
      <c r="H542" s="23" t="s">
        <v>2739</v>
      </c>
      <c r="I542" s="9" t="s">
        <v>40</v>
      </c>
      <c r="J542" s="10" t="s">
        <v>41</v>
      </c>
      <c r="K542" s="36" t="s">
        <v>2740</v>
      </c>
      <c r="L542" s="36" t="s">
        <v>2377</v>
      </c>
      <c r="M542" s="35" t="s">
        <v>236</v>
      </c>
      <c r="N542" s="35" t="s">
        <v>2741</v>
      </c>
      <c r="O542" s="23" t="s">
        <v>41</v>
      </c>
    </row>
    <row r="543" spans="1:15" x14ac:dyDescent="0.35">
      <c r="A543" s="55">
        <v>850</v>
      </c>
      <c r="B543" s="102"/>
      <c r="C543" s="95"/>
      <c r="D543" s="95"/>
      <c r="E543" s="95"/>
      <c r="F543" s="95"/>
      <c r="G543" s="95"/>
      <c r="H543" s="95"/>
      <c r="I543" s="95"/>
      <c r="J543" s="108"/>
      <c r="K543" s="96"/>
      <c r="L543" s="96"/>
      <c r="M543" s="94"/>
      <c r="N543" s="94"/>
      <c r="O543" s="95"/>
    </row>
    <row r="544" spans="1:15" x14ac:dyDescent="0.35">
      <c r="A544" s="56">
        <v>880</v>
      </c>
      <c r="B544" s="107"/>
      <c r="C544" s="99"/>
      <c r="D544" s="99"/>
      <c r="E544" s="99"/>
      <c r="F544" s="99"/>
      <c r="G544" s="99"/>
      <c r="H544" s="99"/>
      <c r="I544" s="99"/>
      <c r="J544" s="108"/>
      <c r="K544" s="97"/>
      <c r="L544" s="97"/>
      <c r="M544" s="98"/>
      <c r="N544" s="98"/>
      <c r="O544" s="99"/>
    </row>
    <row r="545" spans="1:15" x14ac:dyDescent="0.35">
      <c r="A545" s="56">
        <v>881</v>
      </c>
      <c r="B545" s="107"/>
      <c r="C545" s="99"/>
      <c r="D545" s="99"/>
      <c r="E545" s="99"/>
      <c r="F545" s="99"/>
      <c r="G545" s="99"/>
      <c r="H545" s="99"/>
      <c r="I545" s="99"/>
      <c r="J545" s="108"/>
      <c r="K545" s="97"/>
      <c r="L545" s="97"/>
      <c r="M545" s="98"/>
      <c r="N545" s="98"/>
      <c r="O545" s="99"/>
    </row>
    <row r="546" spans="1:15" x14ac:dyDescent="0.35">
      <c r="A546" s="56">
        <v>899</v>
      </c>
      <c r="B546" s="107"/>
      <c r="C546" s="99"/>
      <c r="D546" s="99"/>
      <c r="E546" s="99"/>
      <c r="F546" s="99"/>
      <c r="G546" s="99"/>
      <c r="H546" s="99"/>
      <c r="I546" s="99"/>
      <c r="J546" s="109"/>
      <c r="K546" s="97"/>
      <c r="L546" s="97"/>
      <c r="M546" s="98"/>
      <c r="N546" s="98"/>
      <c r="O546" s="99"/>
    </row>
    <row r="547" spans="1:15" ht="14.5" customHeight="1" x14ac:dyDescent="0.35">
      <c r="A547" s="55">
        <v>853</v>
      </c>
      <c r="B547" s="102"/>
      <c r="C547" s="132"/>
      <c r="D547" s="95"/>
      <c r="E547" s="95"/>
      <c r="F547" s="95"/>
      <c r="G547" s="95"/>
      <c r="H547" s="95"/>
      <c r="I547" s="95"/>
      <c r="J547" s="96"/>
      <c r="K547" s="96"/>
      <c r="L547" s="96"/>
      <c r="M547" s="94"/>
      <c r="N547" s="94"/>
      <c r="O547" s="95"/>
    </row>
    <row r="548" spans="1:15" ht="14.5" customHeight="1" x14ac:dyDescent="0.35">
      <c r="A548" s="55">
        <v>854</v>
      </c>
      <c r="B548" s="102"/>
      <c r="C548" s="132"/>
      <c r="D548" s="95"/>
      <c r="E548" s="95"/>
      <c r="F548" s="95"/>
      <c r="G548" s="95"/>
      <c r="H548" s="95"/>
      <c r="I548" s="95"/>
      <c r="J548" s="96"/>
      <c r="K548" s="96"/>
      <c r="L548" s="96"/>
      <c r="M548" s="94"/>
      <c r="N548" s="94"/>
      <c r="O548" s="95"/>
    </row>
    <row r="549" spans="1:15" ht="14.5" customHeight="1" x14ac:dyDescent="0.35">
      <c r="A549" s="55">
        <v>855</v>
      </c>
      <c r="B549" s="102"/>
      <c r="C549" s="132"/>
      <c r="D549" s="95"/>
      <c r="E549" s="95"/>
      <c r="F549" s="95"/>
      <c r="G549" s="95"/>
      <c r="H549" s="95"/>
      <c r="I549" s="95"/>
      <c r="J549" s="96"/>
      <c r="K549" s="96"/>
      <c r="L549" s="96"/>
      <c r="M549" s="94"/>
      <c r="N549" s="94"/>
      <c r="O549" s="95"/>
    </row>
    <row r="550" spans="1:15" ht="14.5" customHeight="1" x14ac:dyDescent="0.35">
      <c r="A550" s="55">
        <v>856</v>
      </c>
      <c r="B550" s="102"/>
      <c r="C550" s="132"/>
      <c r="D550" s="95"/>
      <c r="E550" s="95"/>
      <c r="F550" s="95"/>
      <c r="G550" s="95"/>
      <c r="H550" s="95"/>
      <c r="I550" s="95"/>
      <c r="J550" s="96"/>
      <c r="K550" s="96"/>
      <c r="L550" s="96"/>
      <c r="M550" s="94"/>
      <c r="N550" s="94"/>
      <c r="O550" s="95"/>
    </row>
    <row r="551" spans="1:15" ht="14.5" customHeight="1" x14ac:dyDescent="0.35">
      <c r="A551" s="29">
        <v>1007</v>
      </c>
      <c r="B551" s="86"/>
      <c r="C551" s="85"/>
      <c r="D551" s="85"/>
      <c r="E551" s="85"/>
      <c r="F551" s="85"/>
      <c r="G551" s="85"/>
      <c r="H551" s="85"/>
      <c r="I551" s="85"/>
      <c r="J551" s="83"/>
      <c r="K551" s="83"/>
      <c r="L551" s="83"/>
      <c r="M551" s="84"/>
      <c r="N551" s="84"/>
      <c r="O551" s="85"/>
    </row>
    <row r="552" spans="1:15" ht="14.5" customHeight="1" x14ac:dyDescent="0.35">
      <c r="A552" s="29">
        <v>1006</v>
      </c>
      <c r="B552" s="86"/>
      <c r="C552" s="85"/>
      <c r="D552" s="85"/>
      <c r="E552" s="85"/>
      <c r="F552" s="85"/>
      <c r="G552" s="85"/>
      <c r="H552" s="85"/>
      <c r="I552" s="85"/>
      <c r="J552" s="83"/>
      <c r="K552" s="83"/>
      <c r="L552" s="83"/>
      <c r="M552" s="84"/>
      <c r="N552" s="84"/>
      <c r="O552" s="85"/>
    </row>
    <row r="553" spans="1:15" ht="43.5" x14ac:dyDescent="0.35">
      <c r="A553" s="29">
        <v>962</v>
      </c>
      <c r="B553" s="7" t="s">
        <v>46</v>
      </c>
      <c r="C553" s="12" t="s">
        <v>34</v>
      </c>
      <c r="D553" s="12" t="s">
        <v>2742</v>
      </c>
      <c r="E553" s="4" t="s">
        <v>2743</v>
      </c>
      <c r="F553" s="4" t="s">
        <v>2743</v>
      </c>
      <c r="G553" s="12" t="s">
        <v>2744</v>
      </c>
      <c r="H553" s="12" t="s">
        <v>2721</v>
      </c>
      <c r="I553" s="4" t="s">
        <v>40</v>
      </c>
      <c r="J553" s="6" t="s">
        <v>41</v>
      </c>
      <c r="K553" s="8" t="s">
        <v>2745</v>
      </c>
      <c r="L553" s="8" t="s">
        <v>59</v>
      </c>
      <c r="M553" s="25" t="s">
        <v>2654</v>
      </c>
      <c r="N553" s="25" t="s">
        <v>2746</v>
      </c>
      <c r="O553" s="12" t="s">
        <v>41</v>
      </c>
    </row>
    <row r="554" spans="1:15" ht="43.5" x14ac:dyDescent="0.35">
      <c r="A554" s="29">
        <v>948</v>
      </c>
      <c r="B554" s="7" t="s">
        <v>46</v>
      </c>
      <c r="C554" s="12" t="s">
        <v>77</v>
      </c>
      <c r="D554" s="12" t="s">
        <v>2747</v>
      </c>
      <c r="E554" s="4" t="s">
        <v>2748</v>
      </c>
      <c r="F554" s="4" t="s">
        <v>2748</v>
      </c>
      <c r="G554" s="12" t="s">
        <v>2749</v>
      </c>
      <c r="H554" s="12" t="s">
        <v>2750</v>
      </c>
      <c r="I554" s="4" t="s">
        <v>40</v>
      </c>
      <c r="J554" s="6" t="s">
        <v>41</v>
      </c>
      <c r="K554" s="8" t="s">
        <v>2751</v>
      </c>
      <c r="L554" s="8" t="s">
        <v>2377</v>
      </c>
      <c r="M554" s="25" t="s">
        <v>1190</v>
      </c>
      <c r="N554" s="25" t="s">
        <v>2752</v>
      </c>
      <c r="O554" s="12" t="s">
        <v>41</v>
      </c>
    </row>
    <row r="555" spans="1:15" ht="43.5" x14ac:dyDescent="0.35">
      <c r="A555" s="29">
        <v>953</v>
      </c>
      <c r="B555" s="7" t="s">
        <v>46</v>
      </c>
      <c r="C555" s="12" t="s">
        <v>77</v>
      </c>
      <c r="D555" s="12" t="s">
        <v>2753</v>
      </c>
      <c r="E555" s="4" t="s">
        <v>2754</v>
      </c>
      <c r="F555" s="4" t="s">
        <v>2754</v>
      </c>
      <c r="G555" s="12" t="s">
        <v>2755</v>
      </c>
      <c r="H555" s="12" t="s">
        <v>2756</v>
      </c>
      <c r="I555" s="4" t="s">
        <v>40</v>
      </c>
      <c r="J555" s="6" t="s">
        <v>41</v>
      </c>
      <c r="K555" s="8" t="s">
        <v>2757</v>
      </c>
      <c r="L555" s="8" t="s">
        <v>59</v>
      </c>
      <c r="M555" s="25" t="s">
        <v>1190</v>
      </c>
      <c r="N555" s="25" t="s">
        <v>2754</v>
      </c>
      <c r="O555" s="12" t="s">
        <v>41</v>
      </c>
    </row>
    <row r="556" spans="1:15" ht="43.5" x14ac:dyDescent="0.35">
      <c r="A556" s="29">
        <v>623</v>
      </c>
      <c r="B556" s="7" t="s">
        <v>46</v>
      </c>
      <c r="C556" s="12" t="s">
        <v>1336</v>
      </c>
      <c r="D556" s="12" t="s">
        <v>2758</v>
      </c>
      <c r="E556" s="4" t="s">
        <v>2759</v>
      </c>
      <c r="F556" s="4" t="s">
        <v>2759</v>
      </c>
      <c r="G556" s="12" t="s">
        <v>2760</v>
      </c>
      <c r="H556" s="12" t="s">
        <v>2761</v>
      </c>
      <c r="I556" s="4" t="s">
        <v>40</v>
      </c>
      <c r="J556" s="6" t="s">
        <v>41</v>
      </c>
      <c r="K556" s="8" t="s">
        <v>2762</v>
      </c>
      <c r="L556" s="8" t="s">
        <v>43</v>
      </c>
      <c r="M556" s="25" t="s">
        <v>2763</v>
      </c>
      <c r="N556" s="25" t="s">
        <v>2764</v>
      </c>
      <c r="O556" s="12" t="s">
        <v>41</v>
      </c>
    </row>
    <row r="557" spans="1:15" ht="43.5" customHeight="1" x14ac:dyDescent="0.35">
      <c r="A557" s="55">
        <v>402</v>
      </c>
      <c r="B557" s="135" t="s">
        <v>46</v>
      </c>
      <c r="C557" s="123" t="s">
        <v>778</v>
      </c>
      <c r="D557" s="110" t="s">
        <v>2765</v>
      </c>
      <c r="E557" s="123" t="s">
        <v>2766</v>
      </c>
      <c r="F557" s="123" t="s">
        <v>2766</v>
      </c>
      <c r="G557" s="123" t="s">
        <v>2767</v>
      </c>
      <c r="H557" s="137" t="s">
        <v>2767</v>
      </c>
      <c r="I557" s="139" t="s">
        <v>460</v>
      </c>
      <c r="J557" s="133" t="s">
        <v>41</v>
      </c>
      <c r="K557" s="140" t="s">
        <v>2768</v>
      </c>
      <c r="L557" s="141" t="s">
        <v>2377</v>
      </c>
      <c r="M557" s="143" t="s">
        <v>2448</v>
      </c>
      <c r="N557" s="134" t="s">
        <v>2769</v>
      </c>
      <c r="O557" s="133" t="s">
        <v>2770</v>
      </c>
    </row>
    <row r="558" spans="1:15" x14ac:dyDescent="0.35">
      <c r="A558" s="55">
        <v>427</v>
      </c>
      <c r="B558" s="136"/>
      <c r="C558" s="112"/>
      <c r="D558" s="110"/>
      <c r="E558" s="112"/>
      <c r="F558" s="112"/>
      <c r="G558" s="112"/>
      <c r="H558" s="138"/>
      <c r="I558" s="139"/>
      <c r="J558" s="133"/>
      <c r="K558" s="140"/>
      <c r="L558" s="141"/>
      <c r="M558" s="143"/>
      <c r="N558" s="134"/>
      <c r="O558" s="133"/>
    </row>
    <row r="559" spans="1:15" x14ac:dyDescent="0.35">
      <c r="A559" s="56">
        <v>572</v>
      </c>
      <c r="B559" s="136"/>
      <c r="C559" s="112"/>
      <c r="D559" s="111"/>
      <c r="E559" s="112"/>
      <c r="F559" s="112"/>
      <c r="G559" s="112"/>
      <c r="H559" s="138"/>
      <c r="I559" s="137"/>
      <c r="J559" s="124"/>
      <c r="K559" s="131"/>
      <c r="L559" s="142"/>
      <c r="M559" s="143"/>
      <c r="N559" s="134"/>
      <c r="O559" s="133"/>
    </row>
    <row r="574" spans="12:12" x14ac:dyDescent="0.35">
      <c r="L574" s="45">
        <f>4/6-1</f>
        <v>-0.33333333333333337</v>
      </c>
    </row>
    <row r="575" spans="12:12" x14ac:dyDescent="0.35">
      <c r="L575" s="45">
        <f>12/18-1</f>
        <v>-0.33333333333333337</v>
      </c>
    </row>
    <row r="576" spans="12:12" x14ac:dyDescent="0.35">
      <c r="L576" s="45">
        <f>8/26-1</f>
        <v>-0.69230769230769229</v>
      </c>
    </row>
    <row r="578" spans="12:12" x14ac:dyDescent="0.35">
      <c r="L578" s="45">
        <f>13/18-1</f>
        <v>-0.27777777777777779</v>
      </c>
    </row>
  </sheetData>
  <autoFilter ref="A2:O559" xr:uid="{39A120E0-FF7B-452A-843C-52780AFFD160}"/>
  <mergeCells count="226">
    <mergeCell ref="N557:N559"/>
    <mergeCell ref="O557:O559"/>
    <mergeCell ref="B557:B559"/>
    <mergeCell ref="D557:D559"/>
    <mergeCell ref="E557:E559"/>
    <mergeCell ref="F557:F559"/>
    <mergeCell ref="C557:C559"/>
    <mergeCell ref="G557:G559"/>
    <mergeCell ref="H557:H559"/>
    <mergeCell ref="I557:I559"/>
    <mergeCell ref="J557:J559"/>
    <mergeCell ref="K557:K559"/>
    <mergeCell ref="L557:L559"/>
    <mergeCell ref="M557:M559"/>
    <mergeCell ref="M489:M490"/>
    <mergeCell ref="M407:M436"/>
    <mergeCell ref="I453:I457"/>
    <mergeCell ref="J453:J457"/>
    <mergeCell ref="I489:I490"/>
    <mergeCell ref="J489:J490"/>
    <mergeCell ref="K484:K488"/>
    <mergeCell ref="L484:L488"/>
    <mergeCell ref="M484:M488"/>
    <mergeCell ref="K453:K457"/>
    <mergeCell ref="L453:L457"/>
    <mergeCell ref="M453:M457"/>
    <mergeCell ref="I484:I488"/>
    <mergeCell ref="J484:J488"/>
    <mergeCell ref="B202:B203"/>
    <mergeCell ref="C202:C203"/>
    <mergeCell ref="D202:D203"/>
    <mergeCell ref="E202:E203"/>
    <mergeCell ref="F202:F203"/>
    <mergeCell ref="B489:B490"/>
    <mergeCell ref="C489:C490"/>
    <mergeCell ref="D489:D490"/>
    <mergeCell ref="E489:E490"/>
    <mergeCell ref="F489:F490"/>
    <mergeCell ref="B453:B457"/>
    <mergeCell ref="B407:B436"/>
    <mergeCell ref="C407:C436"/>
    <mergeCell ref="D407:D436"/>
    <mergeCell ref="E407:E436"/>
    <mergeCell ref="F407:F436"/>
    <mergeCell ref="B437:B449"/>
    <mergeCell ref="B222:B223"/>
    <mergeCell ref="I202:I203"/>
    <mergeCell ref="J202:J203"/>
    <mergeCell ref="K202:K203"/>
    <mergeCell ref="K222:K223"/>
    <mergeCell ref="L222:L223"/>
    <mergeCell ref="G489:G490"/>
    <mergeCell ref="H489:H490"/>
    <mergeCell ref="C547:C550"/>
    <mergeCell ref="D547:D550"/>
    <mergeCell ref="E547:E550"/>
    <mergeCell ref="F547:F550"/>
    <mergeCell ref="G547:G550"/>
    <mergeCell ref="C543:C546"/>
    <mergeCell ref="C484:C488"/>
    <mergeCell ref="D484:D488"/>
    <mergeCell ref="E484:E488"/>
    <mergeCell ref="F484:F488"/>
    <mergeCell ref="G484:G488"/>
    <mergeCell ref="H484:H488"/>
    <mergeCell ref="H543:H546"/>
    <mergeCell ref="K489:K490"/>
    <mergeCell ref="L489:L490"/>
    <mergeCell ref="O222:O223"/>
    <mergeCell ref="C222:C223"/>
    <mergeCell ref="D222:D223"/>
    <mergeCell ref="E222:E223"/>
    <mergeCell ref="F222:F223"/>
    <mergeCell ref="O202:O203"/>
    <mergeCell ref="G202:G203"/>
    <mergeCell ref="C437:C449"/>
    <mergeCell ref="D437:D449"/>
    <mergeCell ref="E437:E449"/>
    <mergeCell ref="O407:O436"/>
    <mergeCell ref="K407:K436"/>
    <mergeCell ref="L407:L436"/>
    <mergeCell ref="H407:H436"/>
    <mergeCell ref="I407:I436"/>
    <mergeCell ref="J407:J436"/>
    <mergeCell ref="L202:L203"/>
    <mergeCell ref="M202:M203"/>
    <mergeCell ref="G222:G223"/>
    <mergeCell ref="H222:H223"/>
    <mergeCell ref="I222:I223"/>
    <mergeCell ref="J222:J223"/>
    <mergeCell ref="N202:N203"/>
    <mergeCell ref="H202:H203"/>
    <mergeCell ref="O437:O449"/>
    <mergeCell ref="K437:K449"/>
    <mergeCell ref="L437:L449"/>
    <mergeCell ref="M437:M449"/>
    <mergeCell ref="N437:N449"/>
    <mergeCell ref="F437:F449"/>
    <mergeCell ref="G437:G449"/>
    <mergeCell ref="H437:H449"/>
    <mergeCell ref="I437:I449"/>
    <mergeCell ref="J437:J449"/>
    <mergeCell ref="M1:O1"/>
    <mergeCell ref="A1:L1"/>
    <mergeCell ref="B78:B79"/>
    <mergeCell ref="C78:C79"/>
    <mergeCell ref="D78:D79"/>
    <mergeCell ref="E78:E79"/>
    <mergeCell ref="F78:F79"/>
    <mergeCell ref="L78:L79"/>
    <mergeCell ref="M78:M79"/>
    <mergeCell ref="N78:N79"/>
    <mergeCell ref="O78:O79"/>
    <mergeCell ref="G78:G79"/>
    <mergeCell ref="H78:H79"/>
    <mergeCell ref="I78:I79"/>
    <mergeCell ref="J78:J79"/>
    <mergeCell ref="K78:K79"/>
    <mergeCell ref="E80:E81"/>
    <mergeCell ref="F80:F81"/>
    <mergeCell ref="C121:C122"/>
    <mergeCell ref="D123:D126"/>
    <mergeCell ref="E123:E126"/>
    <mergeCell ref="F123:F126"/>
    <mergeCell ref="F121:F122"/>
    <mergeCell ref="N489:N490"/>
    <mergeCell ref="O489:O490"/>
    <mergeCell ref="O484:O488"/>
    <mergeCell ref="I123:I126"/>
    <mergeCell ref="J123:J126"/>
    <mergeCell ref="N484:N488"/>
    <mergeCell ref="N407:N436"/>
    <mergeCell ref="G407:G436"/>
    <mergeCell ref="N453:N457"/>
    <mergeCell ref="O453:O457"/>
    <mergeCell ref="C453:C457"/>
    <mergeCell ref="D453:D457"/>
    <mergeCell ref="E453:E457"/>
    <mergeCell ref="F453:F457"/>
    <mergeCell ref="G453:G457"/>
    <mergeCell ref="H453:H457"/>
    <mergeCell ref="N222:N223"/>
    <mergeCell ref="O80:O81"/>
    <mergeCell ref="G80:G81"/>
    <mergeCell ref="H80:H81"/>
    <mergeCell ref="I80:I81"/>
    <mergeCell ref="J80:J81"/>
    <mergeCell ref="K80:K81"/>
    <mergeCell ref="L80:L81"/>
    <mergeCell ref="M80:M81"/>
    <mergeCell ref="B121:B122"/>
    <mergeCell ref="O121:O122"/>
    <mergeCell ref="D121:D122"/>
    <mergeCell ref="E121:E122"/>
    <mergeCell ref="G121:G122"/>
    <mergeCell ref="H121:H122"/>
    <mergeCell ref="L121:L122"/>
    <mergeCell ref="M121:M122"/>
    <mergeCell ref="N121:N122"/>
    <mergeCell ref="I121:I122"/>
    <mergeCell ref="J121:J122"/>
    <mergeCell ref="K121:K122"/>
    <mergeCell ref="N80:N81"/>
    <mergeCell ref="B80:B81"/>
    <mergeCell ref="C80:C81"/>
    <mergeCell ref="D80:D81"/>
    <mergeCell ref="G135:G137"/>
    <mergeCell ref="H135:H137"/>
    <mergeCell ref="I135:I137"/>
    <mergeCell ref="J135:J137"/>
    <mergeCell ref="K135:K137"/>
    <mergeCell ref="G123:G126"/>
    <mergeCell ref="O123:O126"/>
    <mergeCell ref="B123:B126"/>
    <mergeCell ref="C123:C126"/>
    <mergeCell ref="D135:D137"/>
    <mergeCell ref="E135:E137"/>
    <mergeCell ref="F135:F137"/>
    <mergeCell ref="O135:O137"/>
    <mergeCell ref="B135:B137"/>
    <mergeCell ref="C135:C137"/>
    <mergeCell ref="K123:K126"/>
    <mergeCell ref="L123:L126"/>
    <mergeCell ref="M123:M126"/>
    <mergeCell ref="H123:H126"/>
    <mergeCell ref="L135:L137"/>
    <mergeCell ref="M135:M137"/>
    <mergeCell ref="N135:N137"/>
    <mergeCell ref="N123:N126"/>
    <mergeCell ref="M222:M223"/>
    <mergeCell ref="I543:I546"/>
    <mergeCell ref="H547:H550"/>
    <mergeCell ref="I547:I550"/>
    <mergeCell ref="J547:J550"/>
    <mergeCell ref="B525:B526"/>
    <mergeCell ref="C525:C526"/>
    <mergeCell ref="D525:D526"/>
    <mergeCell ref="E525:E526"/>
    <mergeCell ref="F525:F526"/>
    <mergeCell ref="G525:G526"/>
    <mergeCell ref="H525:H526"/>
    <mergeCell ref="I525:I526"/>
    <mergeCell ref="J525:J526"/>
    <mergeCell ref="D543:D546"/>
    <mergeCell ref="E543:E546"/>
    <mergeCell ref="F543:F546"/>
    <mergeCell ref="G543:G546"/>
    <mergeCell ref="B547:B550"/>
    <mergeCell ref="B543:B546"/>
    <mergeCell ref="J543:J546"/>
    <mergeCell ref="L547:L550"/>
    <mergeCell ref="M547:M550"/>
    <mergeCell ref="B484:B488"/>
    <mergeCell ref="N547:N550"/>
    <mergeCell ref="O547:O550"/>
    <mergeCell ref="K525:K526"/>
    <mergeCell ref="L525:L526"/>
    <mergeCell ref="M525:M526"/>
    <mergeCell ref="N525:N526"/>
    <mergeCell ref="O525:O526"/>
    <mergeCell ref="K543:K546"/>
    <mergeCell ref="L543:L546"/>
    <mergeCell ref="M543:M546"/>
    <mergeCell ref="N543:N546"/>
    <mergeCell ref="O543:O546"/>
    <mergeCell ref="K547:K550"/>
  </mergeCells>
  <conditionalFormatting sqref="D560:D1048576 D129:D221 D2:D119 D127 D121:D122 D224:D492 D494:D525 D527:D542 D553:D557">
    <cfRule type="duplicateValues" dxfId="66" priority="72"/>
  </conditionalFormatting>
  <conditionalFormatting sqref="G316:G320">
    <cfRule type="duplicateValues" dxfId="65" priority="68"/>
  </conditionalFormatting>
  <conditionalFormatting sqref="H317">
    <cfRule type="duplicateValues" dxfId="64" priority="21"/>
  </conditionalFormatting>
  <conditionalFormatting sqref="H318:H319">
    <cfRule type="duplicateValues" dxfId="63" priority="20"/>
  </conditionalFormatting>
  <conditionalFormatting sqref="H320">
    <cfRule type="duplicateValues" dxfId="62" priority="19"/>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0E926-E323-47D3-80F4-671E7F3B4498}">
  <dimension ref="A1:I175"/>
  <sheetViews>
    <sheetView topLeftCell="A4" workbookViewId="0">
      <selection activeCell="E12" sqref="E12"/>
    </sheetView>
  </sheetViews>
  <sheetFormatPr defaultRowHeight="14.5" x14ac:dyDescent="0.35"/>
  <cols>
    <col min="1" max="1" width="22.1796875" bestFit="1" customWidth="1"/>
    <col min="2" max="2" width="46.1796875" bestFit="1" customWidth="1"/>
    <col min="3" max="3" width="12.453125" bestFit="1" customWidth="1"/>
    <col min="4" max="4" width="7.1796875" bestFit="1" customWidth="1"/>
    <col min="5" max="5" width="31.54296875" customWidth="1"/>
    <col min="6" max="6" width="23.7265625" bestFit="1" customWidth="1"/>
    <col min="7" max="7" width="11.1796875" style="81" customWidth="1"/>
    <col min="8" max="8" width="13.453125" style="81" bestFit="1" customWidth="1"/>
    <col min="9" max="9" width="23" hidden="1" customWidth="1"/>
  </cols>
  <sheetData>
    <row r="1" spans="1:9" s="59" customFormat="1" x14ac:dyDescent="0.35">
      <c r="A1" s="57" t="s">
        <v>2771</v>
      </c>
      <c r="B1" s="57" t="s">
        <v>2772</v>
      </c>
      <c r="C1" s="57" t="s">
        <v>2773</v>
      </c>
      <c r="D1" s="57" t="s">
        <v>30</v>
      </c>
      <c r="E1" s="57" t="s">
        <v>6</v>
      </c>
      <c r="F1" s="57" t="s">
        <v>2774</v>
      </c>
      <c r="G1" s="58" t="s">
        <v>2775</v>
      </c>
      <c r="H1" s="58" t="s">
        <v>2776</v>
      </c>
      <c r="I1" s="58" t="s">
        <v>2777</v>
      </c>
    </row>
    <row r="2" spans="1:9" x14ac:dyDescent="0.35">
      <c r="A2" s="60" t="s">
        <v>2778</v>
      </c>
      <c r="B2" s="60" t="s">
        <v>2779</v>
      </c>
      <c r="C2" s="60" t="s">
        <v>2780</v>
      </c>
      <c r="D2" s="61">
        <v>52</v>
      </c>
      <c r="E2" s="62" t="s">
        <v>2781</v>
      </c>
      <c r="F2" s="63" t="s">
        <v>2782</v>
      </c>
      <c r="G2" s="64" t="s">
        <v>2783</v>
      </c>
      <c r="H2" s="64" t="s">
        <v>2783</v>
      </c>
      <c r="I2" s="65" t="s">
        <v>2783</v>
      </c>
    </row>
    <row r="3" spans="1:9" x14ac:dyDescent="0.35">
      <c r="A3" s="60" t="s">
        <v>2778</v>
      </c>
      <c r="B3" s="60" t="s">
        <v>2779</v>
      </c>
      <c r="C3" s="60" t="s">
        <v>2784</v>
      </c>
      <c r="D3" s="61">
        <v>82</v>
      </c>
      <c r="E3" s="62" t="s">
        <v>2785</v>
      </c>
      <c r="F3" s="63" t="s">
        <v>2782</v>
      </c>
      <c r="G3" s="64" t="s">
        <v>2783</v>
      </c>
      <c r="H3" s="64" t="s">
        <v>2783</v>
      </c>
      <c r="I3" s="65" t="s">
        <v>2783</v>
      </c>
    </row>
    <row r="4" spans="1:9" x14ac:dyDescent="0.35">
      <c r="A4" s="60" t="s">
        <v>2778</v>
      </c>
      <c r="B4" s="60" t="s">
        <v>2779</v>
      </c>
      <c r="C4" s="60" t="s">
        <v>2784</v>
      </c>
      <c r="D4" s="61">
        <v>96</v>
      </c>
      <c r="E4" s="62" t="s">
        <v>2786</v>
      </c>
      <c r="F4" s="63" t="s">
        <v>2782</v>
      </c>
      <c r="G4" s="64" t="s">
        <v>2783</v>
      </c>
      <c r="H4" s="64" t="s">
        <v>2783</v>
      </c>
      <c r="I4" s="65" t="s">
        <v>2783</v>
      </c>
    </row>
    <row r="5" spans="1:9" x14ac:dyDescent="0.35">
      <c r="A5" s="60" t="s">
        <v>2778</v>
      </c>
      <c r="B5" s="60" t="s">
        <v>2779</v>
      </c>
      <c r="C5" s="60" t="s">
        <v>2787</v>
      </c>
      <c r="D5" s="61">
        <v>154</v>
      </c>
      <c r="E5" s="62" t="s">
        <v>2788</v>
      </c>
      <c r="F5" s="63" t="s">
        <v>2782</v>
      </c>
      <c r="G5" s="64" t="s">
        <v>2783</v>
      </c>
      <c r="H5" s="64" t="s">
        <v>2783</v>
      </c>
      <c r="I5" s="65" t="s">
        <v>2783</v>
      </c>
    </row>
    <row r="6" spans="1:9" x14ac:dyDescent="0.35">
      <c r="A6" s="60" t="s">
        <v>2778</v>
      </c>
      <c r="B6" s="60" t="s">
        <v>2779</v>
      </c>
      <c r="C6" s="60" t="s">
        <v>2789</v>
      </c>
      <c r="D6" s="61">
        <v>157</v>
      </c>
      <c r="E6" s="62" t="s">
        <v>2790</v>
      </c>
      <c r="F6" s="63" t="s">
        <v>2782</v>
      </c>
      <c r="G6" s="64" t="s">
        <v>2783</v>
      </c>
      <c r="H6" s="64" t="s">
        <v>2783</v>
      </c>
      <c r="I6" s="65" t="s">
        <v>2783</v>
      </c>
    </row>
    <row r="7" spans="1:9" x14ac:dyDescent="0.35">
      <c r="A7" s="60" t="s">
        <v>2778</v>
      </c>
      <c r="B7" s="60" t="s">
        <v>2779</v>
      </c>
      <c r="C7" s="60" t="s">
        <v>2780</v>
      </c>
      <c r="D7" s="61">
        <v>195</v>
      </c>
      <c r="E7" s="62" t="s">
        <v>2791</v>
      </c>
      <c r="F7" s="63" t="s">
        <v>2782</v>
      </c>
      <c r="G7" s="64" t="s">
        <v>2783</v>
      </c>
      <c r="H7" s="64" t="s">
        <v>2783</v>
      </c>
      <c r="I7" s="65" t="s">
        <v>2783</v>
      </c>
    </row>
    <row r="8" spans="1:9" x14ac:dyDescent="0.35">
      <c r="A8" s="60" t="s">
        <v>2778</v>
      </c>
      <c r="B8" s="60" t="s">
        <v>2779</v>
      </c>
      <c r="C8" s="60" t="s">
        <v>2789</v>
      </c>
      <c r="D8" s="61">
        <v>210</v>
      </c>
      <c r="E8" s="62" t="s">
        <v>2792</v>
      </c>
      <c r="F8" s="63" t="s">
        <v>2782</v>
      </c>
      <c r="G8" s="64" t="s">
        <v>2783</v>
      </c>
      <c r="H8" s="64" t="s">
        <v>2783</v>
      </c>
      <c r="I8" s="66" t="e">
        <f>H8+7</f>
        <v>#VALUE!</v>
      </c>
    </row>
    <row r="9" spans="1:9" x14ac:dyDescent="0.35">
      <c r="A9" s="60" t="s">
        <v>2793</v>
      </c>
      <c r="B9" s="60" t="s">
        <v>2794</v>
      </c>
      <c r="C9" s="60" t="s">
        <v>2787</v>
      </c>
      <c r="D9" s="61">
        <v>330</v>
      </c>
      <c r="E9" s="62" t="s">
        <v>2795</v>
      </c>
      <c r="F9" s="63" t="s">
        <v>2782</v>
      </c>
      <c r="G9" s="64" t="s">
        <v>2783</v>
      </c>
      <c r="H9" s="64" t="s">
        <v>2783</v>
      </c>
      <c r="I9" s="65" t="s">
        <v>2783</v>
      </c>
    </row>
    <row r="10" spans="1:9" x14ac:dyDescent="0.35">
      <c r="A10" s="60" t="s">
        <v>2793</v>
      </c>
      <c r="B10" s="60" t="s">
        <v>2794</v>
      </c>
      <c r="C10" s="60" t="s">
        <v>2796</v>
      </c>
      <c r="D10" s="61">
        <v>332</v>
      </c>
      <c r="E10" s="62" t="s">
        <v>2797</v>
      </c>
      <c r="F10" s="63" t="s">
        <v>2782</v>
      </c>
      <c r="G10" s="64" t="s">
        <v>2783</v>
      </c>
      <c r="H10" s="64" t="s">
        <v>2783</v>
      </c>
      <c r="I10" s="65" t="s">
        <v>2783</v>
      </c>
    </row>
    <row r="11" spans="1:9" x14ac:dyDescent="0.35">
      <c r="A11" s="60" t="s">
        <v>2793</v>
      </c>
      <c r="B11" s="60" t="s">
        <v>2794</v>
      </c>
      <c r="C11" s="60" t="s">
        <v>2796</v>
      </c>
      <c r="D11" s="61">
        <v>338</v>
      </c>
      <c r="E11" s="62" t="s">
        <v>2798</v>
      </c>
      <c r="F11" s="63" t="s">
        <v>2782</v>
      </c>
      <c r="G11" s="64" t="s">
        <v>2783</v>
      </c>
      <c r="H11" s="64" t="s">
        <v>2783</v>
      </c>
      <c r="I11" s="65" t="s">
        <v>2783</v>
      </c>
    </row>
    <row r="12" spans="1:9" x14ac:dyDescent="0.35">
      <c r="A12" s="60" t="s">
        <v>2799</v>
      </c>
      <c r="B12" s="60" t="s">
        <v>2799</v>
      </c>
      <c r="C12" s="60" t="s">
        <v>2800</v>
      </c>
      <c r="D12" s="61">
        <v>352</v>
      </c>
      <c r="E12" s="62" t="s">
        <v>2801</v>
      </c>
      <c r="F12" s="63" t="s">
        <v>2782</v>
      </c>
      <c r="G12" s="64" t="s">
        <v>2783</v>
      </c>
      <c r="H12" s="64" t="s">
        <v>2783</v>
      </c>
      <c r="I12" s="65" t="s">
        <v>2783</v>
      </c>
    </row>
    <row r="13" spans="1:9" x14ac:dyDescent="0.35">
      <c r="A13" s="60" t="s">
        <v>2802</v>
      </c>
      <c r="B13" s="60" t="s">
        <v>2803</v>
      </c>
      <c r="C13" s="60" t="s">
        <v>2804</v>
      </c>
      <c r="D13" s="61">
        <v>397</v>
      </c>
      <c r="E13" s="62" t="s">
        <v>2805</v>
      </c>
      <c r="F13" s="63" t="s">
        <v>2782</v>
      </c>
      <c r="G13" s="64" t="s">
        <v>2783</v>
      </c>
      <c r="H13" s="64" t="s">
        <v>2783</v>
      </c>
      <c r="I13" s="65" t="s">
        <v>2783</v>
      </c>
    </row>
    <row r="14" spans="1:9" x14ac:dyDescent="0.35">
      <c r="A14" s="60" t="s">
        <v>2802</v>
      </c>
      <c r="B14" s="60" t="s">
        <v>2803</v>
      </c>
      <c r="C14" s="60" t="s">
        <v>2806</v>
      </c>
      <c r="D14" s="61">
        <v>402</v>
      </c>
      <c r="E14" s="62" t="s">
        <v>2807</v>
      </c>
      <c r="F14" s="63" t="s">
        <v>2808</v>
      </c>
      <c r="G14" s="64"/>
      <c r="H14" s="64"/>
      <c r="I14" s="65" t="s">
        <v>2783</v>
      </c>
    </row>
    <row r="15" spans="1:9" x14ac:dyDescent="0.35">
      <c r="A15" s="60" t="s">
        <v>2802</v>
      </c>
      <c r="B15" s="60" t="s">
        <v>2803</v>
      </c>
      <c r="C15" s="60" t="s">
        <v>2806</v>
      </c>
      <c r="D15" s="61">
        <v>427</v>
      </c>
      <c r="E15" s="62" t="s">
        <v>2809</v>
      </c>
      <c r="F15" s="63" t="s">
        <v>2808</v>
      </c>
      <c r="G15" s="64"/>
      <c r="H15" s="64"/>
      <c r="I15" s="65" t="s">
        <v>2783</v>
      </c>
    </row>
    <row r="16" spans="1:9" x14ac:dyDescent="0.35">
      <c r="A16" s="60" t="s">
        <v>2810</v>
      </c>
      <c r="B16" s="60" t="s">
        <v>2779</v>
      </c>
      <c r="C16" s="60" t="s">
        <v>2811</v>
      </c>
      <c r="D16" s="61">
        <v>436</v>
      </c>
      <c r="E16" s="62" t="s">
        <v>2812</v>
      </c>
      <c r="F16" s="63" t="s">
        <v>2782</v>
      </c>
      <c r="G16" s="64" t="s">
        <v>2783</v>
      </c>
      <c r="H16" s="64" t="s">
        <v>2783</v>
      </c>
      <c r="I16" s="65" t="s">
        <v>2783</v>
      </c>
    </row>
    <row r="17" spans="1:9" x14ac:dyDescent="0.35">
      <c r="A17" s="60" t="s">
        <v>2813</v>
      </c>
      <c r="B17" s="60" t="s">
        <v>2814</v>
      </c>
      <c r="C17" s="60" t="s">
        <v>2815</v>
      </c>
      <c r="D17" s="61">
        <v>513</v>
      </c>
      <c r="E17" s="62" t="s">
        <v>2816</v>
      </c>
      <c r="F17" s="63" t="s">
        <v>2782</v>
      </c>
      <c r="G17" s="64" t="s">
        <v>2783</v>
      </c>
      <c r="H17" s="64" t="s">
        <v>2783</v>
      </c>
      <c r="I17" s="65" t="s">
        <v>2783</v>
      </c>
    </row>
    <row r="18" spans="1:9" x14ac:dyDescent="0.35">
      <c r="A18" s="60" t="s">
        <v>2813</v>
      </c>
      <c r="B18" s="60" t="s">
        <v>2814</v>
      </c>
      <c r="C18" s="60" t="s">
        <v>2817</v>
      </c>
      <c r="D18" s="61">
        <v>517</v>
      </c>
      <c r="E18" s="62" t="s">
        <v>2818</v>
      </c>
      <c r="F18" s="63" t="s">
        <v>2782</v>
      </c>
      <c r="G18" s="64" t="s">
        <v>2783</v>
      </c>
      <c r="H18" s="64" t="s">
        <v>2783</v>
      </c>
      <c r="I18" s="65" t="s">
        <v>2783</v>
      </c>
    </row>
    <row r="19" spans="1:9" x14ac:dyDescent="0.35">
      <c r="A19" s="60" t="s">
        <v>2813</v>
      </c>
      <c r="B19" s="60" t="s">
        <v>2814</v>
      </c>
      <c r="C19" s="60" t="s">
        <v>2817</v>
      </c>
      <c r="D19" s="61">
        <v>535</v>
      </c>
      <c r="E19" s="62" t="s">
        <v>2819</v>
      </c>
      <c r="F19" s="63" t="s">
        <v>2820</v>
      </c>
      <c r="G19" s="64" t="s">
        <v>2783</v>
      </c>
      <c r="H19" s="64" t="s">
        <v>2783</v>
      </c>
      <c r="I19" s="65" t="s">
        <v>2783</v>
      </c>
    </row>
    <row r="20" spans="1:9" x14ac:dyDescent="0.35">
      <c r="A20" s="60" t="s">
        <v>2813</v>
      </c>
      <c r="B20" s="60" t="s">
        <v>2821</v>
      </c>
      <c r="C20" s="60" t="s">
        <v>2784</v>
      </c>
      <c r="D20" s="61">
        <v>572</v>
      </c>
      <c r="E20" s="62" t="s">
        <v>2822</v>
      </c>
      <c r="F20" s="63" t="s">
        <v>2823</v>
      </c>
      <c r="G20" s="64"/>
      <c r="H20" s="64">
        <v>46059</v>
      </c>
      <c r="I20" s="65" t="s">
        <v>2783</v>
      </c>
    </row>
    <row r="21" spans="1:9" x14ac:dyDescent="0.35">
      <c r="A21" s="60" t="s">
        <v>2813</v>
      </c>
      <c r="B21" s="60" t="s">
        <v>2814</v>
      </c>
      <c r="C21" s="60" t="s">
        <v>2824</v>
      </c>
      <c r="D21" s="61">
        <v>577</v>
      </c>
      <c r="E21" s="62" t="s">
        <v>2825</v>
      </c>
      <c r="F21" s="63" t="s">
        <v>2782</v>
      </c>
      <c r="G21" s="64" t="s">
        <v>2783</v>
      </c>
      <c r="H21" s="64" t="s">
        <v>2783</v>
      </c>
      <c r="I21" s="66" t="e">
        <f>H21+7</f>
        <v>#VALUE!</v>
      </c>
    </row>
    <row r="22" spans="1:9" x14ac:dyDescent="0.35">
      <c r="A22" s="60" t="s">
        <v>2826</v>
      </c>
      <c r="B22" s="60" t="s">
        <v>2827</v>
      </c>
      <c r="C22" s="60" t="s">
        <v>2828</v>
      </c>
      <c r="D22" s="61">
        <v>601</v>
      </c>
      <c r="E22" s="62" t="s">
        <v>2829</v>
      </c>
      <c r="F22" s="63" t="s">
        <v>2782</v>
      </c>
      <c r="G22" s="64" t="s">
        <v>2783</v>
      </c>
      <c r="H22" s="64" t="s">
        <v>2783</v>
      </c>
      <c r="I22" s="65" t="s">
        <v>2783</v>
      </c>
    </row>
    <row r="23" spans="1:9" x14ac:dyDescent="0.35">
      <c r="A23" s="60" t="s">
        <v>2813</v>
      </c>
      <c r="B23" s="60" t="s">
        <v>2830</v>
      </c>
      <c r="C23" s="60" t="s">
        <v>2789</v>
      </c>
      <c r="D23" s="61">
        <v>971</v>
      </c>
      <c r="E23" s="62" t="s">
        <v>2831</v>
      </c>
      <c r="F23" s="63" t="s">
        <v>2823</v>
      </c>
      <c r="G23" s="64"/>
      <c r="H23" s="64">
        <v>46059</v>
      </c>
      <c r="I23" s="66">
        <f t="shared" ref="I23:I25" si="0">H23+7</f>
        <v>46066</v>
      </c>
    </row>
    <row r="24" spans="1:9" x14ac:dyDescent="0.35">
      <c r="A24" s="60" t="s">
        <v>2813</v>
      </c>
      <c r="B24" s="60" t="s">
        <v>2832</v>
      </c>
      <c r="C24" s="60" t="s">
        <v>2780</v>
      </c>
      <c r="D24" s="61">
        <v>607</v>
      </c>
      <c r="E24" s="62" t="s">
        <v>2833</v>
      </c>
      <c r="F24" s="63" t="s">
        <v>2782</v>
      </c>
      <c r="G24" s="64" t="s">
        <v>2783</v>
      </c>
      <c r="H24" s="64" t="s">
        <v>2783</v>
      </c>
      <c r="I24" s="66" t="e">
        <f t="shared" si="0"/>
        <v>#VALUE!</v>
      </c>
    </row>
    <row r="25" spans="1:9" x14ac:dyDescent="0.35">
      <c r="A25" s="60" t="s">
        <v>2813</v>
      </c>
      <c r="B25" s="60" t="s">
        <v>2834</v>
      </c>
      <c r="C25" s="60" t="s">
        <v>2780</v>
      </c>
      <c r="D25" s="61">
        <v>618</v>
      </c>
      <c r="E25" s="62" t="s">
        <v>2835</v>
      </c>
      <c r="F25" s="63" t="s">
        <v>2782</v>
      </c>
      <c r="G25" s="64" t="s">
        <v>2783</v>
      </c>
      <c r="H25" s="64" t="s">
        <v>2783</v>
      </c>
      <c r="I25" s="66" t="e">
        <f t="shared" si="0"/>
        <v>#VALUE!</v>
      </c>
    </row>
    <row r="26" spans="1:9" x14ac:dyDescent="0.35">
      <c r="A26" s="60" t="s">
        <v>2813</v>
      </c>
      <c r="B26" s="60" t="s">
        <v>2836</v>
      </c>
      <c r="C26" s="60" t="s">
        <v>2780</v>
      </c>
      <c r="D26" s="61">
        <v>619</v>
      </c>
      <c r="E26" s="62" t="s">
        <v>2837</v>
      </c>
      <c r="F26" s="63" t="s">
        <v>2782</v>
      </c>
      <c r="G26" s="64" t="s">
        <v>2783</v>
      </c>
      <c r="H26" s="64" t="s">
        <v>2783</v>
      </c>
      <c r="I26" s="65" t="s">
        <v>2783</v>
      </c>
    </row>
    <row r="27" spans="1:9" x14ac:dyDescent="0.35">
      <c r="A27" s="60" t="s">
        <v>2813</v>
      </c>
      <c r="B27" s="60" t="s">
        <v>2836</v>
      </c>
      <c r="C27" s="60" t="s">
        <v>2838</v>
      </c>
      <c r="D27" s="61">
        <v>620</v>
      </c>
      <c r="E27" s="62" t="s">
        <v>2839</v>
      </c>
      <c r="F27" s="63" t="s">
        <v>2782</v>
      </c>
      <c r="G27" s="64" t="s">
        <v>2783</v>
      </c>
      <c r="H27" s="64" t="s">
        <v>2783</v>
      </c>
      <c r="I27" s="66" t="e">
        <f t="shared" ref="I27:I30" si="1">H27+7</f>
        <v>#VALUE!</v>
      </c>
    </row>
    <row r="28" spans="1:9" x14ac:dyDescent="0.35">
      <c r="A28" s="60" t="s">
        <v>2813</v>
      </c>
      <c r="B28" s="60" t="s">
        <v>2840</v>
      </c>
      <c r="C28" s="60" t="s">
        <v>2784</v>
      </c>
      <c r="D28" s="61">
        <v>621</v>
      </c>
      <c r="E28" s="62" t="s">
        <v>2841</v>
      </c>
      <c r="F28" s="63" t="s">
        <v>2782</v>
      </c>
      <c r="G28" s="64" t="s">
        <v>2783</v>
      </c>
      <c r="H28" s="64" t="s">
        <v>2783</v>
      </c>
      <c r="I28" s="66" t="e">
        <f t="shared" si="1"/>
        <v>#VALUE!</v>
      </c>
    </row>
    <row r="29" spans="1:9" x14ac:dyDescent="0.35">
      <c r="A29" s="60" t="s">
        <v>2813</v>
      </c>
      <c r="B29" s="60" t="s">
        <v>2842</v>
      </c>
      <c r="C29" s="60" t="s">
        <v>2838</v>
      </c>
      <c r="D29" s="61">
        <v>628</v>
      </c>
      <c r="E29" s="62" t="s">
        <v>2843</v>
      </c>
      <c r="F29" s="63" t="s">
        <v>2823</v>
      </c>
      <c r="G29" s="64"/>
      <c r="H29" s="64">
        <v>46059</v>
      </c>
      <c r="I29" s="66">
        <f t="shared" si="1"/>
        <v>46066</v>
      </c>
    </row>
    <row r="30" spans="1:9" x14ac:dyDescent="0.35">
      <c r="A30" s="60" t="s">
        <v>2813</v>
      </c>
      <c r="B30" s="60" t="s">
        <v>2844</v>
      </c>
      <c r="C30" s="60" t="s">
        <v>2780</v>
      </c>
      <c r="D30" s="61">
        <v>695</v>
      </c>
      <c r="E30" s="62" t="s">
        <v>2845</v>
      </c>
      <c r="F30" s="63" t="s">
        <v>2782</v>
      </c>
      <c r="G30" s="64" t="s">
        <v>2783</v>
      </c>
      <c r="H30" s="64" t="s">
        <v>2783</v>
      </c>
      <c r="I30" s="66" t="e">
        <f t="shared" si="1"/>
        <v>#VALUE!</v>
      </c>
    </row>
    <row r="31" spans="1:9" x14ac:dyDescent="0.35">
      <c r="A31" s="60" t="s">
        <v>2813</v>
      </c>
      <c r="B31" s="60" t="s">
        <v>2844</v>
      </c>
      <c r="C31" s="60" t="s">
        <v>2780</v>
      </c>
      <c r="D31" s="61">
        <v>696</v>
      </c>
      <c r="E31" s="62" t="s">
        <v>2846</v>
      </c>
      <c r="F31" s="63" t="s">
        <v>2782</v>
      </c>
      <c r="G31" s="64" t="s">
        <v>2783</v>
      </c>
      <c r="H31" s="64" t="s">
        <v>2783</v>
      </c>
      <c r="I31" s="65" t="s">
        <v>2783</v>
      </c>
    </row>
    <row r="32" spans="1:9" x14ac:dyDescent="0.35">
      <c r="A32" s="60" t="s">
        <v>2813</v>
      </c>
      <c r="B32" s="60" t="s">
        <v>2840</v>
      </c>
      <c r="C32" s="60" t="s">
        <v>2780</v>
      </c>
      <c r="D32" s="61">
        <v>709</v>
      </c>
      <c r="E32" s="62" t="s">
        <v>2847</v>
      </c>
      <c r="F32" s="63" t="s">
        <v>2782</v>
      </c>
      <c r="G32" s="64" t="s">
        <v>2783</v>
      </c>
      <c r="H32" s="64" t="s">
        <v>2783</v>
      </c>
      <c r="I32" s="66" t="e">
        <f t="shared" ref="I32:I35" si="2">H32+7</f>
        <v>#VALUE!</v>
      </c>
    </row>
    <row r="33" spans="1:9" x14ac:dyDescent="0.35">
      <c r="A33" s="60" t="s">
        <v>2813</v>
      </c>
      <c r="B33" s="60" t="s">
        <v>2848</v>
      </c>
      <c r="C33" s="60" t="s">
        <v>2780</v>
      </c>
      <c r="D33" s="61">
        <v>710</v>
      </c>
      <c r="E33" s="62" t="s">
        <v>2849</v>
      </c>
      <c r="F33" s="63" t="s">
        <v>2782</v>
      </c>
      <c r="G33" s="64" t="s">
        <v>2783</v>
      </c>
      <c r="H33" s="64" t="s">
        <v>2783</v>
      </c>
      <c r="I33" s="66" t="e">
        <f t="shared" si="2"/>
        <v>#VALUE!</v>
      </c>
    </row>
    <row r="34" spans="1:9" x14ac:dyDescent="0.35">
      <c r="A34" s="60" t="s">
        <v>2826</v>
      </c>
      <c r="B34" s="60" t="s">
        <v>2827</v>
      </c>
      <c r="C34" s="60" t="s">
        <v>2784</v>
      </c>
      <c r="D34" s="61">
        <v>634</v>
      </c>
      <c r="E34" s="62" t="s">
        <v>2850</v>
      </c>
      <c r="F34" s="63" t="s">
        <v>2851</v>
      </c>
      <c r="G34" s="64"/>
      <c r="H34" s="64">
        <v>46078</v>
      </c>
      <c r="I34" s="66">
        <f t="shared" si="2"/>
        <v>46085</v>
      </c>
    </row>
    <row r="35" spans="1:9" x14ac:dyDescent="0.35">
      <c r="A35" s="60" t="s">
        <v>2813</v>
      </c>
      <c r="B35" s="60" t="s">
        <v>2852</v>
      </c>
      <c r="C35" s="60" t="s">
        <v>2784</v>
      </c>
      <c r="D35" s="61">
        <v>921</v>
      </c>
      <c r="E35" s="62" t="s">
        <v>2853</v>
      </c>
      <c r="F35" s="63" t="s">
        <v>2851</v>
      </c>
      <c r="G35" s="64"/>
      <c r="H35" s="65">
        <v>46059</v>
      </c>
      <c r="I35" s="66">
        <f t="shared" si="2"/>
        <v>46066</v>
      </c>
    </row>
    <row r="36" spans="1:9" x14ac:dyDescent="0.35">
      <c r="A36" s="60" t="s">
        <v>2813</v>
      </c>
      <c r="B36" s="60" t="s">
        <v>2830</v>
      </c>
      <c r="C36" s="60" t="s">
        <v>2828</v>
      </c>
      <c r="D36" s="61">
        <v>922</v>
      </c>
      <c r="E36" s="62" t="s">
        <v>2854</v>
      </c>
      <c r="F36" s="63" t="s">
        <v>2851</v>
      </c>
      <c r="G36" s="67"/>
      <c r="H36" s="65">
        <v>46059</v>
      </c>
      <c r="I36" s="65" t="s">
        <v>2783</v>
      </c>
    </row>
    <row r="37" spans="1:9" x14ac:dyDescent="0.35">
      <c r="A37" s="60" t="s">
        <v>2813</v>
      </c>
      <c r="B37" s="60" t="s">
        <v>2830</v>
      </c>
      <c r="C37" s="60" t="s">
        <v>2855</v>
      </c>
      <c r="D37" s="61">
        <v>924</v>
      </c>
      <c r="E37" s="62" t="s">
        <v>2856</v>
      </c>
      <c r="F37" s="63" t="s">
        <v>2851</v>
      </c>
      <c r="G37" s="64"/>
      <c r="H37" s="65">
        <v>46059</v>
      </c>
      <c r="I37" s="66">
        <f>H37+7</f>
        <v>46066</v>
      </c>
    </row>
    <row r="38" spans="1:9" x14ac:dyDescent="0.35">
      <c r="A38" s="60" t="s">
        <v>2813</v>
      </c>
      <c r="B38" s="60" t="s">
        <v>2857</v>
      </c>
      <c r="C38" s="60" t="s">
        <v>2787</v>
      </c>
      <c r="D38" s="61">
        <v>886</v>
      </c>
      <c r="E38" s="62" t="s">
        <v>2858</v>
      </c>
      <c r="F38" s="63" t="s">
        <v>2823</v>
      </c>
      <c r="G38" s="64"/>
      <c r="H38" s="64">
        <v>46059</v>
      </c>
      <c r="I38" s="65" t="s">
        <v>2783</v>
      </c>
    </row>
    <row r="39" spans="1:9" x14ac:dyDescent="0.35">
      <c r="A39" s="60" t="s">
        <v>2813</v>
      </c>
      <c r="B39" s="60" t="s">
        <v>2859</v>
      </c>
      <c r="C39" s="60" t="s">
        <v>2787</v>
      </c>
      <c r="D39" s="61">
        <v>841</v>
      </c>
      <c r="E39" s="62" t="s">
        <v>2860</v>
      </c>
      <c r="F39" s="63" t="s">
        <v>2782</v>
      </c>
      <c r="G39" s="64" t="s">
        <v>2783</v>
      </c>
      <c r="H39" s="64" t="s">
        <v>2783</v>
      </c>
      <c r="I39" s="65" t="s">
        <v>2783</v>
      </c>
    </row>
    <row r="40" spans="1:9" x14ac:dyDescent="0.35">
      <c r="A40" s="60" t="s">
        <v>2813</v>
      </c>
      <c r="B40" s="60" t="s">
        <v>2861</v>
      </c>
      <c r="C40" s="60" t="s">
        <v>2838</v>
      </c>
      <c r="D40" s="61">
        <v>989</v>
      </c>
      <c r="E40" s="62" t="s">
        <v>2862</v>
      </c>
      <c r="F40" s="63" t="s">
        <v>2851</v>
      </c>
      <c r="G40" s="64"/>
      <c r="H40" s="64">
        <v>46048</v>
      </c>
      <c r="I40" s="65" t="s">
        <v>2783</v>
      </c>
    </row>
    <row r="41" spans="1:9" x14ac:dyDescent="0.35">
      <c r="A41" s="60" t="s">
        <v>2863</v>
      </c>
      <c r="B41" s="60" t="s">
        <v>2864</v>
      </c>
      <c r="C41" s="60" t="s">
        <v>2828</v>
      </c>
      <c r="D41" s="61">
        <v>1012</v>
      </c>
      <c r="E41" s="62" t="s">
        <v>2865</v>
      </c>
      <c r="F41" s="63" t="s">
        <v>2820</v>
      </c>
      <c r="G41" s="64" t="s">
        <v>2783</v>
      </c>
      <c r="H41" s="64">
        <v>46094</v>
      </c>
      <c r="I41" s="66">
        <f t="shared" ref="I41:I42" si="3">H41+7</f>
        <v>46101</v>
      </c>
    </row>
    <row r="42" spans="1:9" x14ac:dyDescent="0.35">
      <c r="A42" s="60" t="s">
        <v>2866</v>
      </c>
      <c r="B42" s="60" t="s">
        <v>2867</v>
      </c>
      <c r="C42" s="60"/>
      <c r="D42" s="61">
        <v>903</v>
      </c>
      <c r="E42" s="62" t="s">
        <v>2868</v>
      </c>
      <c r="F42" s="63" t="s">
        <v>2782</v>
      </c>
      <c r="G42" s="64" t="s">
        <v>2783</v>
      </c>
      <c r="H42" s="64" t="s">
        <v>2783</v>
      </c>
      <c r="I42" s="66" t="e">
        <f t="shared" si="3"/>
        <v>#VALUE!</v>
      </c>
    </row>
    <row r="43" spans="1:9" x14ac:dyDescent="0.35">
      <c r="A43" s="60" t="s">
        <v>2813</v>
      </c>
      <c r="B43" s="60" t="s">
        <v>2869</v>
      </c>
      <c r="C43" s="60"/>
      <c r="D43" s="61">
        <v>950</v>
      </c>
      <c r="E43" s="62" t="s">
        <v>2870</v>
      </c>
      <c r="F43" s="63" t="s">
        <v>2823</v>
      </c>
      <c r="G43" s="64"/>
      <c r="H43" s="64">
        <v>46059</v>
      </c>
      <c r="I43" s="65" t="s">
        <v>2783</v>
      </c>
    </row>
    <row r="44" spans="1:9" x14ac:dyDescent="0.35">
      <c r="A44" s="60" t="s">
        <v>2813</v>
      </c>
      <c r="B44" s="60" t="s">
        <v>2871</v>
      </c>
      <c r="C44" s="60"/>
      <c r="D44" s="61">
        <v>1018</v>
      </c>
      <c r="E44" s="62" t="s">
        <v>2872</v>
      </c>
      <c r="F44" s="63" t="s">
        <v>2851</v>
      </c>
      <c r="G44" s="64"/>
      <c r="H44" s="64">
        <v>46059</v>
      </c>
      <c r="I44" s="66">
        <f t="shared" ref="I44:I47" si="4">H44+7</f>
        <v>46066</v>
      </c>
    </row>
    <row r="45" spans="1:9" x14ac:dyDescent="0.35">
      <c r="A45" s="60" t="s">
        <v>2813</v>
      </c>
      <c r="B45" s="60" t="s">
        <v>2873</v>
      </c>
      <c r="C45" s="60" t="s">
        <v>2874</v>
      </c>
      <c r="D45" s="61">
        <v>970</v>
      </c>
      <c r="E45" s="62" t="s">
        <v>2875</v>
      </c>
      <c r="F45" s="63" t="s">
        <v>2820</v>
      </c>
      <c r="G45" s="64" t="s">
        <v>2783</v>
      </c>
      <c r="H45" s="64" t="s">
        <v>2783</v>
      </c>
      <c r="I45" s="66" t="e">
        <f t="shared" si="4"/>
        <v>#VALUE!</v>
      </c>
    </row>
    <row r="46" spans="1:9" x14ac:dyDescent="0.35">
      <c r="A46" s="60" t="s">
        <v>2813</v>
      </c>
      <c r="B46" s="60" t="s">
        <v>2876</v>
      </c>
      <c r="C46" s="60" t="s">
        <v>2877</v>
      </c>
      <c r="D46" s="61">
        <v>965</v>
      </c>
      <c r="E46" s="62" t="s">
        <v>2878</v>
      </c>
      <c r="F46" s="63" t="s">
        <v>2782</v>
      </c>
      <c r="G46" s="64" t="s">
        <v>2783</v>
      </c>
      <c r="H46" s="64" t="s">
        <v>2783</v>
      </c>
      <c r="I46" s="66" t="e">
        <f t="shared" si="4"/>
        <v>#VALUE!</v>
      </c>
    </row>
    <row r="47" spans="1:9" x14ac:dyDescent="0.35">
      <c r="A47" s="60" t="s">
        <v>2813</v>
      </c>
      <c r="B47" s="60" t="s">
        <v>2879</v>
      </c>
      <c r="C47" s="60" t="s">
        <v>2806</v>
      </c>
      <c r="D47" s="61">
        <v>1011</v>
      </c>
      <c r="E47" s="62" t="s">
        <v>2880</v>
      </c>
      <c r="F47" s="63" t="s">
        <v>2851</v>
      </c>
      <c r="G47" s="68">
        <v>46038</v>
      </c>
      <c r="H47" s="64">
        <v>46066</v>
      </c>
      <c r="I47" s="66">
        <f t="shared" si="4"/>
        <v>46073</v>
      </c>
    </row>
    <row r="48" spans="1:9" x14ac:dyDescent="0.35">
      <c r="A48" s="60" t="s">
        <v>2813</v>
      </c>
      <c r="B48" s="60" t="s">
        <v>41</v>
      </c>
      <c r="C48" s="60" t="s">
        <v>2787</v>
      </c>
      <c r="D48" s="69">
        <v>1001</v>
      </c>
      <c r="E48" s="62" t="s">
        <v>2881</v>
      </c>
      <c r="F48" s="63" t="s">
        <v>2782</v>
      </c>
      <c r="G48" s="64" t="s">
        <v>2783</v>
      </c>
      <c r="H48" s="64" t="s">
        <v>2783</v>
      </c>
      <c r="I48" s="65" t="s">
        <v>2783</v>
      </c>
    </row>
    <row r="49" spans="1:9" x14ac:dyDescent="0.35">
      <c r="A49" s="60" t="s">
        <v>2863</v>
      </c>
      <c r="B49" s="60" t="s">
        <v>2864</v>
      </c>
      <c r="C49" s="60" t="s">
        <v>2838</v>
      </c>
      <c r="D49" s="61">
        <v>1014</v>
      </c>
      <c r="E49" s="62" t="s">
        <v>2882</v>
      </c>
      <c r="F49" s="63" t="s">
        <v>2820</v>
      </c>
      <c r="G49" s="64">
        <v>46052</v>
      </c>
      <c r="H49" s="64">
        <v>46076</v>
      </c>
      <c r="I49" s="66">
        <f t="shared" ref="I49:I53" si="5">H49+7</f>
        <v>46083</v>
      </c>
    </row>
    <row r="50" spans="1:9" x14ac:dyDescent="0.35">
      <c r="A50" s="60" t="s">
        <v>2813</v>
      </c>
      <c r="B50" s="60" t="s">
        <v>2873</v>
      </c>
      <c r="C50" s="60" t="s">
        <v>2883</v>
      </c>
      <c r="D50" s="61">
        <v>1016</v>
      </c>
      <c r="E50" s="62" t="s">
        <v>2884</v>
      </c>
      <c r="F50" s="63" t="s">
        <v>2782</v>
      </c>
      <c r="G50" s="64" t="s">
        <v>2783</v>
      </c>
      <c r="H50" s="64" t="s">
        <v>2783</v>
      </c>
      <c r="I50" s="66" t="e">
        <f t="shared" si="5"/>
        <v>#VALUE!</v>
      </c>
    </row>
    <row r="51" spans="1:9" x14ac:dyDescent="0.35">
      <c r="A51" s="60" t="s">
        <v>2813</v>
      </c>
      <c r="B51" s="60" t="s">
        <v>2873</v>
      </c>
      <c r="C51" s="60" t="s">
        <v>2784</v>
      </c>
      <c r="D51" s="61">
        <v>1017</v>
      </c>
      <c r="E51" s="62" t="s">
        <v>2885</v>
      </c>
      <c r="F51" s="63" t="s">
        <v>2782</v>
      </c>
      <c r="G51" s="64" t="s">
        <v>2783</v>
      </c>
      <c r="H51" s="64" t="s">
        <v>2783</v>
      </c>
      <c r="I51" s="66" t="e">
        <f t="shared" si="5"/>
        <v>#VALUE!</v>
      </c>
    </row>
    <row r="52" spans="1:9" x14ac:dyDescent="0.35">
      <c r="A52" s="60" t="s">
        <v>2813</v>
      </c>
      <c r="B52" s="60" t="s">
        <v>2886</v>
      </c>
      <c r="C52" s="60" t="s">
        <v>2887</v>
      </c>
      <c r="D52" s="61">
        <v>1019</v>
      </c>
      <c r="E52" s="62" t="s">
        <v>2888</v>
      </c>
      <c r="F52" s="63" t="s">
        <v>2851</v>
      </c>
      <c r="G52" s="64">
        <v>46038</v>
      </c>
      <c r="H52" s="64">
        <v>46059</v>
      </c>
      <c r="I52" s="66">
        <f t="shared" si="5"/>
        <v>46066</v>
      </c>
    </row>
    <row r="53" spans="1:9" x14ac:dyDescent="0.35">
      <c r="A53" s="60" t="s">
        <v>2813</v>
      </c>
      <c r="B53" s="60" t="s">
        <v>2886</v>
      </c>
      <c r="C53" s="60" t="s">
        <v>2873</v>
      </c>
      <c r="D53" s="70">
        <v>1020</v>
      </c>
      <c r="E53" s="62" t="s">
        <v>2889</v>
      </c>
      <c r="F53" s="63" t="s">
        <v>2851</v>
      </c>
      <c r="G53" s="64"/>
      <c r="H53" s="64">
        <v>46059</v>
      </c>
      <c r="I53" s="66">
        <f t="shared" si="5"/>
        <v>46066</v>
      </c>
    </row>
    <row r="54" spans="1:9" x14ac:dyDescent="0.35">
      <c r="A54" s="60" t="s">
        <v>2813</v>
      </c>
      <c r="B54" s="60" t="s">
        <v>2890</v>
      </c>
      <c r="C54" s="60" t="s">
        <v>2873</v>
      </c>
      <c r="D54" s="69">
        <v>1026</v>
      </c>
      <c r="E54" s="62" t="s">
        <v>2891</v>
      </c>
      <c r="F54" s="63" t="s">
        <v>2820</v>
      </c>
      <c r="G54" s="64">
        <v>46052</v>
      </c>
      <c r="H54" s="64">
        <v>46076</v>
      </c>
      <c r="I54" s="65" t="s">
        <v>2783</v>
      </c>
    </row>
    <row r="55" spans="1:9" x14ac:dyDescent="0.35">
      <c r="A55" s="60" t="s">
        <v>2813</v>
      </c>
      <c r="B55" s="60" t="s">
        <v>2892</v>
      </c>
      <c r="C55" s="60" t="s">
        <v>2861</v>
      </c>
      <c r="D55" s="69">
        <v>1035</v>
      </c>
      <c r="E55" s="62" t="s">
        <v>2893</v>
      </c>
      <c r="F55" s="63" t="s">
        <v>2820</v>
      </c>
      <c r="G55" s="71">
        <v>46066</v>
      </c>
      <c r="H55" s="64">
        <v>46090</v>
      </c>
      <c r="I55" s="66">
        <f t="shared" ref="I55:I77" si="6">H55+7</f>
        <v>46097</v>
      </c>
    </row>
    <row r="56" spans="1:9" x14ac:dyDescent="0.35">
      <c r="A56" s="60" t="s">
        <v>2813</v>
      </c>
      <c r="B56" s="60" t="s">
        <v>2817</v>
      </c>
      <c r="C56" s="60" t="s">
        <v>2861</v>
      </c>
      <c r="D56" s="69">
        <v>1036</v>
      </c>
      <c r="E56" s="62" t="s">
        <v>2894</v>
      </c>
      <c r="F56" s="63" t="s">
        <v>2820</v>
      </c>
      <c r="G56" s="64">
        <v>46080</v>
      </c>
      <c r="H56" s="64">
        <v>46094</v>
      </c>
      <c r="I56" s="66">
        <f t="shared" si="6"/>
        <v>46101</v>
      </c>
    </row>
    <row r="57" spans="1:9" x14ac:dyDescent="0.35">
      <c r="A57" s="60" t="s">
        <v>2813</v>
      </c>
      <c r="B57" s="60" t="s">
        <v>2895</v>
      </c>
      <c r="C57" s="60" t="s">
        <v>2896</v>
      </c>
      <c r="D57" s="69">
        <v>1040</v>
      </c>
      <c r="E57" s="62" t="s">
        <v>2897</v>
      </c>
      <c r="F57" s="63" t="s">
        <v>2782</v>
      </c>
      <c r="G57" s="64" t="s">
        <v>2783</v>
      </c>
      <c r="H57" s="64" t="s">
        <v>2783</v>
      </c>
      <c r="I57" s="66" t="e">
        <f t="shared" si="6"/>
        <v>#VALUE!</v>
      </c>
    </row>
    <row r="58" spans="1:9" x14ac:dyDescent="0.35">
      <c r="A58" s="60" t="s">
        <v>2813</v>
      </c>
      <c r="B58" s="60" t="s">
        <v>2879</v>
      </c>
      <c r="C58" s="60" t="s">
        <v>2780</v>
      </c>
      <c r="D58" s="69">
        <v>1042</v>
      </c>
      <c r="E58" s="62" t="s">
        <v>2898</v>
      </c>
      <c r="F58" s="63" t="s">
        <v>2782</v>
      </c>
      <c r="G58" s="64" t="s">
        <v>2783</v>
      </c>
      <c r="H58" s="64" t="s">
        <v>2783</v>
      </c>
      <c r="I58" s="66" t="e">
        <f t="shared" si="6"/>
        <v>#VALUE!</v>
      </c>
    </row>
    <row r="59" spans="1:9" x14ac:dyDescent="0.35">
      <c r="A59" s="60" t="s">
        <v>2813</v>
      </c>
      <c r="B59" s="60" t="s">
        <v>2899</v>
      </c>
      <c r="C59" s="60" t="s">
        <v>2817</v>
      </c>
      <c r="D59" s="69">
        <v>1037</v>
      </c>
      <c r="E59" s="62" t="s">
        <v>2900</v>
      </c>
      <c r="F59" s="63" t="s">
        <v>2851</v>
      </c>
      <c r="G59" s="64">
        <v>46038</v>
      </c>
      <c r="H59" s="64">
        <v>46059</v>
      </c>
      <c r="I59" s="66">
        <f t="shared" si="6"/>
        <v>46066</v>
      </c>
    </row>
    <row r="60" spans="1:9" x14ac:dyDescent="0.35">
      <c r="A60" s="60" t="s">
        <v>2813</v>
      </c>
      <c r="B60" s="60" t="s">
        <v>2861</v>
      </c>
      <c r="C60" s="60" t="s">
        <v>2828</v>
      </c>
      <c r="D60" s="69">
        <v>1039</v>
      </c>
      <c r="E60" s="62" t="s">
        <v>2901</v>
      </c>
      <c r="F60" s="63" t="s">
        <v>2820</v>
      </c>
      <c r="G60" s="71">
        <v>46066</v>
      </c>
      <c r="H60" s="64">
        <v>46090</v>
      </c>
      <c r="I60" s="66">
        <f t="shared" si="6"/>
        <v>46097</v>
      </c>
    </row>
    <row r="61" spans="1:9" x14ac:dyDescent="0.35">
      <c r="A61" s="60" t="s">
        <v>2802</v>
      </c>
      <c r="B61" s="60" t="s">
        <v>2902</v>
      </c>
      <c r="C61" s="60" t="s">
        <v>2887</v>
      </c>
      <c r="D61" s="61">
        <v>4250</v>
      </c>
      <c r="E61" s="62" t="s">
        <v>2903</v>
      </c>
      <c r="F61" s="63" t="s">
        <v>2782</v>
      </c>
      <c r="G61" s="64" t="s">
        <v>2783</v>
      </c>
      <c r="H61" s="64" t="s">
        <v>2783</v>
      </c>
      <c r="I61" s="66" t="e">
        <f t="shared" si="6"/>
        <v>#VALUE!</v>
      </c>
    </row>
    <row r="62" spans="1:9" x14ac:dyDescent="0.35">
      <c r="A62" s="60" t="s">
        <v>2802</v>
      </c>
      <c r="B62" s="60" t="s">
        <v>2902</v>
      </c>
      <c r="C62" s="60" t="s">
        <v>2780</v>
      </c>
      <c r="D62" s="61">
        <v>4251</v>
      </c>
      <c r="E62" s="62" t="s">
        <v>2904</v>
      </c>
      <c r="F62" s="63" t="s">
        <v>2782</v>
      </c>
      <c r="G62" s="64" t="s">
        <v>2783</v>
      </c>
      <c r="H62" s="64" t="s">
        <v>2783</v>
      </c>
      <c r="I62" s="66" t="e">
        <f t="shared" si="6"/>
        <v>#VALUE!</v>
      </c>
    </row>
    <row r="63" spans="1:9" x14ac:dyDescent="0.35">
      <c r="A63" s="60" t="s">
        <v>2802</v>
      </c>
      <c r="B63" s="60" t="s">
        <v>2902</v>
      </c>
      <c r="C63" s="60" t="s">
        <v>2905</v>
      </c>
      <c r="D63" s="61">
        <v>4252</v>
      </c>
      <c r="E63" s="62" t="s">
        <v>2906</v>
      </c>
      <c r="F63" s="63" t="s">
        <v>2782</v>
      </c>
      <c r="G63" s="64" t="s">
        <v>2783</v>
      </c>
      <c r="H63" s="64" t="s">
        <v>2783</v>
      </c>
      <c r="I63" s="66" t="e">
        <f t="shared" si="6"/>
        <v>#VALUE!</v>
      </c>
    </row>
    <row r="64" spans="1:9" x14ac:dyDescent="0.35">
      <c r="A64" s="60" t="s">
        <v>2802</v>
      </c>
      <c r="B64" s="60" t="s">
        <v>2902</v>
      </c>
      <c r="C64" s="60" t="s">
        <v>2824</v>
      </c>
      <c r="D64" s="61">
        <v>4256</v>
      </c>
      <c r="E64" s="62" t="s">
        <v>2907</v>
      </c>
      <c r="F64" s="63" t="s">
        <v>2782</v>
      </c>
      <c r="G64" s="64" t="s">
        <v>2783</v>
      </c>
      <c r="H64" s="64" t="s">
        <v>2783</v>
      </c>
      <c r="I64" s="66" t="e">
        <f t="shared" si="6"/>
        <v>#VALUE!</v>
      </c>
    </row>
    <row r="65" spans="1:9" x14ac:dyDescent="0.35">
      <c r="A65" s="60" t="s">
        <v>2813</v>
      </c>
      <c r="B65" s="60" t="s">
        <v>2908</v>
      </c>
      <c r="C65" s="60" t="s">
        <v>2824</v>
      </c>
      <c r="D65" s="61">
        <v>4269</v>
      </c>
      <c r="E65" s="62" t="s">
        <v>2909</v>
      </c>
      <c r="F65" s="63" t="s">
        <v>2782</v>
      </c>
      <c r="G65" s="64" t="s">
        <v>2783</v>
      </c>
      <c r="H65" s="64" t="s">
        <v>2783</v>
      </c>
      <c r="I65" s="66" t="e">
        <f t="shared" si="6"/>
        <v>#VALUE!</v>
      </c>
    </row>
    <row r="66" spans="1:9" x14ac:dyDescent="0.35">
      <c r="A66" s="60" t="s">
        <v>2802</v>
      </c>
      <c r="B66" s="60" t="s">
        <v>2803</v>
      </c>
      <c r="C66" s="60" t="s">
        <v>2824</v>
      </c>
      <c r="D66" s="61">
        <v>4278</v>
      </c>
      <c r="E66" s="62" t="s">
        <v>2910</v>
      </c>
      <c r="F66" s="63" t="s">
        <v>2782</v>
      </c>
      <c r="G66" s="64" t="s">
        <v>2783</v>
      </c>
      <c r="H66" s="64" t="s">
        <v>2783</v>
      </c>
      <c r="I66" s="66" t="e">
        <f t="shared" si="6"/>
        <v>#VALUE!</v>
      </c>
    </row>
    <row r="67" spans="1:9" x14ac:dyDescent="0.35">
      <c r="A67" s="60" t="s">
        <v>2802</v>
      </c>
      <c r="B67" s="60" t="s">
        <v>2902</v>
      </c>
      <c r="C67" s="60" t="s">
        <v>2873</v>
      </c>
      <c r="D67" s="61">
        <v>4292</v>
      </c>
      <c r="E67" s="62" t="s">
        <v>2911</v>
      </c>
      <c r="F67" s="63" t="s">
        <v>2782</v>
      </c>
      <c r="G67" s="64" t="s">
        <v>2783</v>
      </c>
      <c r="H67" s="64" t="s">
        <v>2783</v>
      </c>
      <c r="I67" s="66" t="e">
        <f t="shared" si="6"/>
        <v>#VALUE!</v>
      </c>
    </row>
    <row r="68" spans="1:9" x14ac:dyDescent="0.35">
      <c r="A68" s="60" t="s">
        <v>2802</v>
      </c>
      <c r="B68" s="60" t="s">
        <v>2902</v>
      </c>
      <c r="C68" s="60" t="s">
        <v>2784</v>
      </c>
      <c r="D68" s="61">
        <v>4293</v>
      </c>
      <c r="E68" s="62" t="s">
        <v>2912</v>
      </c>
      <c r="F68" s="63" t="s">
        <v>2782</v>
      </c>
      <c r="G68" s="64" t="s">
        <v>2783</v>
      </c>
      <c r="H68" s="64" t="s">
        <v>2783</v>
      </c>
      <c r="I68" s="66" t="e">
        <f t="shared" si="6"/>
        <v>#VALUE!</v>
      </c>
    </row>
    <row r="69" spans="1:9" x14ac:dyDescent="0.35">
      <c r="A69" s="60" t="s">
        <v>2802</v>
      </c>
      <c r="B69" s="60" t="s">
        <v>2902</v>
      </c>
      <c r="C69" s="60" t="s">
        <v>2784</v>
      </c>
      <c r="D69" s="61">
        <v>4306</v>
      </c>
      <c r="E69" s="62" t="s">
        <v>2913</v>
      </c>
      <c r="F69" s="63" t="s">
        <v>2782</v>
      </c>
      <c r="G69" s="64" t="s">
        <v>2783</v>
      </c>
      <c r="H69" s="64" t="s">
        <v>2783</v>
      </c>
      <c r="I69" s="66" t="e">
        <f t="shared" si="6"/>
        <v>#VALUE!</v>
      </c>
    </row>
    <row r="70" spans="1:9" x14ac:dyDescent="0.35">
      <c r="A70" s="60" t="s">
        <v>2802</v>
      </c>
      <c r="B70" s="60" t="s">
        <v>2902</v>
      </c>
      <c r="C70" s="60" t="s">
        <v>2914</v>
      </c>
      <c r="D70" s="61">
        <v>4311</v>
      </c>
      <c r="E70" s="62" t="s">
        <v>2915</v>
      </c>
      <c r="F70" s="63" t="s">
        <v>2820</v>
      </c>
      <c r="G70" s="64">
        <v>46066</v>
      </c>
      <c r="H70" s="64">
        <v>46090</v>
      </c>
      <c r="I70" s="66">
        <f t="shared" si="6"/>
        <v>46097</v>
      </c>
    </row>
    <row r="71" spans="1:9" x14ac:dyDescent="0.35">
      <c r="A71" s="60" t="s">
        <v>2802</v>
      </c>
      <c r="B71" s="60" t="s">
        <v>2902</v>
      </c>
      <c r="C71" s="60" t="s">
        <v>2914</v>
      </c>
      <c r="D71" s="61">
        <v>4318</v>
      </c>
      <c r="E71" s="62" t="s">
        <v>2916</v>
      </c>
      <c r="F71" s="63" t="s">
        <v>2782</v>
      </c>
      <c r="G71" s="64" t="s">
        <v>2783</v>
      </c>
      <c r="H71" s="64" t="s">
        <v>2783</v>
      </c>
      <c r="I71" s="66" t="e">
        <f t="shared" si="6"/>
        <v>#VALUE!</v>
      </c>
    </row>
    <row r="72" spans="1:9" x14ac:dyDescent="0.35">
      <c r="A72" s="60" t="s">
        <v>2802</v>
      </c>
      <c r="B72" s="60" t="s">
        <v>2902</v>
      </c>
      <c r="C72" s="60" t="s">
        <v>2804</v>
      </c>
      <c r="D72" s="61">
        <v>4319</v>
      </c>
      <c r="E72" s="62" t="s">
        <v>2917</v>
      </c>
      <c r="F72" s="63" t="s">
        <v>2782</v>
      </c>
      <c r="G72" s="64" t="s">
        <v>2783</v>
      </c>
      <c r="H72" s="64" t="s">
        <v>2783</v>
      </c>
      <c r="I72" s="66" t="e">
        <f t="shared" si="6"/>
        <v>#VALUE!</v>
      </c>
    </row>
    <row r="73" spans="1:9" x14ac:dyDescent="0.35">
      <c r="A73" s="60" t="s">
        <v>2802</v>
      </c>
      <c r="B73" s="60" t="s">
        <v>2902</v>
      </c>
      <c r="C73" s="60" t="s">
        <v>2887</v>
      </c>
      <c r="D73" s="61">
        <v>4323</v>
      </c>
      <c r="E73" s="62" t="s">
        <v>2918</v>
      </c>
      <c r="F73" s="63" t="s">
        <v>2820</v>
      </c>
      <c r="G73" s="64">
        <v>46066</v>
      </c>
      <c r="H73" s="64">
        <v>46090</v>
      </c>
      <c r="I73" s="66">
        <f t="shared" si="6"/>
        <v>46097</v>
      </c>
    </row>
    <row r="74" spans="1:9" x14ac:dyDescent="0.35">
      <c r="A74" s="60" t="s">
        <v>2813</v>
      </c>
      <c r="B74" s="60" t="s">
        <v>2895</v>
      </c>
      <c r="C74" s="60" t="s">
        <v>2914</v>
      </c>
      <c r="D74" s="69">
        <v>1041</v>
      </c>
      <c r="E74" s="62" t="s">
        <v>2919</v>
      </c>
      <c r="F74" s="63" t="s">
        <v>2820</v>
      </c>
      <c r="G74" s="64">
        <v>46052</v>
      </c>
      <c r="H74" s="64">
        <v>46065</v>
      </c>
      <c r="I74" s="66">
        <f t="shared" si="6"/>
        <v>46072</v>
      </c>
    </row>
    <row r="75" spans="1:9" x14ac:dyDescent="0.35">
      <c r="A75" s="60" t="s">
        <v>2813</v>
      </c>
      <c r="B75" s="60" t="s">
        <v>2920</v>
      </c>
      <c r="C75" s="60" t="s">
        <v>2914</v>
      </c>
      <c r="D75" s="69">
        <v>1045</v>
      </c>
      <c r="E75" s="62" t="s">
        <v>2921</v>
      </c>
      <c r="F75" s="63" t="s">
        <v>2820</v>
      </c>
      <c r="G75" s="64" t="s">
        <v>2783</v>
      </c>
      <c r="H75" s="64">
        <v>46076</v>
      </c>
      <c r="I75" s="66">
        <f t="shared" si="6"/>
        <v>46083</v>
      </c>
    </row>
    <row r="76" spans="1:9" x14ac:dyDescent="0.35">
      <c r="A76" s="60" t="s">
        <v>2813</v>
      </c>
      <c r="B76" s="60" t="s">
        <v>2922</v>
      </c>
      <c r="C76" s="60" t="s">
        <v>2887</v>
      </c>
      <c r="D76" s="69">
        <v>1066</v>
      </c>
      <c r="E76" s="62" t="s">
        <v>2923</v>
      </c>
      <c r="F76" s="63" t="s">
        <v>2820</v>
      </c>
      <c r="G76" s="64">
        <v>46052</v>
      </c>
      <c r="H76" s="64">
        <v>46076</v>
      </c>
      <c r="I76" s="66">
        <f t="shared" si="6"/>
        <v>46083</v>
      </c>
    </row>
    <row r="77" spans="1:9" x14ac:dyDescent="0.35">
      <c r="A77" s="60" t="s">
        <v>2813</v>
      </c>
      <c r="B77" s="60" t="s">
        <v>2924</v>
      </c>
      <c r="C77" s="60" t="s">
        <v>2828</v>
      </c>
      <c r="D77" s="69">
        <v>1067</v>
      </c>
      <c r="E77" s="62" t="s">
        <v>2925</v>
      </c>
      <c r="F77" s="63" t="s">
        <v>2820</v>
      </c>
      <c r="G77" s="71">
        <v>46066</v>
      </c>
      <c r="H77" s="64">
        <v>46090</v>
      </c>
      <c r="I77" s="66">
        <f t="shared" si="6"/>
        <v>46097</v>
      </c>
    </row>
    <row r="78" spans="1:9" x14ac:dyDescent="0.35">
      <c r="A78" s="60" t="s">
        <v>2813</v>
      </c>
      <c r="B78" s="60" t="s">
        <v>2861</v>
      </c>
      <c r="C78" s="60" t="s">
        <v>2926</v>
      </c>
      <c r="D78" s="69">
        <v>1082</v>
      </c>
      <c r="E78" s="62" t="s">
        <v>2927</v>
      </c>
      <c r="F78" s="63" t="s">
        <v>2928</v>
      </c>
      <c r="G78" s="64"/>
      <c r="H78" s="64">
        <v>46052</v>
      </c>
      <c r="I78" s="64" t="s">
        <v>2783</v>
      </c>
    </row>
    <row r="79" spans="1:9" x14ac:dyDescent="0.35">
      <c r="A79" s="60" t="s">
        <v>2813</v>
      </c>
      <c r="B79" s="60" t="s">
        <v>2861</v>
      </c>
      <c r="C79" s="60"/>
      <c r="D79" s="69">
        <v>1083</v>
      </c>
      <c r="E79" s="62" t="s">
        <v>2929</v>
      </c>
      <c r="F79" s="63" t="s">
        <v>2928</v>
      </c>
      <c r="G79" s="64"/>
      <c r="H79" s="64"/>
      <c r="I79" s="66">
        <f t="shared" ref="I79:I83" si="7">H79+7</f>
        <v>7</v>
      </c>
    </row>
    <row r="80" spans="1:9" x14ac:dyDescent="0.35">
      <c r="A80" s="60" t="s">
        <v>2813</v>
      </c>
      <c r="B80" s="60" t="s">
        <v>2922</v>
      </c>
      <c r="C80" s="60"/>
      <c r="D80" s="69">
        <v>1085</v>
      </c>
      <c r="E80" s="62" t="s">
        <v>2930</v>
      </c>
      <c r="F80" s="63" t="s">
        <v>2820</v>
      </c>
      <c r="G80" s="64">
        <v>46052</v>
      </c>
      <c r="H80" s="64">
        <v>46076</v>
      </c>
      <c r="I80" s="66">
        <f t="shared" si="7"/>
        <v>46083</v>
      </c>
    </row>
    <row r="81" spans="1:9" x14ac:dyDescent="0.35">
      <c r="A81" s="60" t="s">
        <v>2813</v>
      </c>
      <c r="B81" s="60" t="s">
        <v>2922</v>
      </c>
      <c r="C81" s="60" t="s">
        <v>2780</v>
      </c>
      <c r="D81" s="69">
        <v>1086</v>
      </c>
      <c r="E81" s="62" t="s">
        <v>2931</v>
      </c>
      <c r="F81" s="63" t="s">
        <v>2820</v>
      </c>
      <c r="G81" s="64">
        <v>46052</v>
      </c>
      <c r="H81" s="64">
        <v>46076</v>
      </c>
      <c r="I81" s="66">
        <f t="shared" si="7"/>
        <v>46083</v>
      </c>
    </row>
    <row r="82" spans="1:9" x14ac:dyDescent="0.35">
      <c r="A82" s="60" t="s">
        <v>2813</v>
      </c>
      <c r="B82" s="60" t="s">
        <v>2861</v>
      </c>
      <c r="C82" s="60"/>
      <c r="D82" s="69">
        <v>1098</v>
      </c>
      <c r="E82" s="62" t="s">
        <v>2932</v>
      </c>
      <c r="F82" s="63" t="s">
        <v>2851</v>
      </c>
      <c r="G82" s="64">
        <v>46038</v>
      </c>
      <c r="H82" s="64">
        <v>46059</v>
      </c>
      <c r="I82" s="64" t="s">
        <v>2783</v>
      </c>
    </row>
    <row r="83" spans="1:9" x14ac:dyDescent="0.35">
      <c r="A83" s="60" t="s">
        <v>2813</v>
      </c>
      <c r="B83" s="60" t="s">
        <v>2933</v>
      </c>
      <c r="C83" s="60" t="s">
        <v>2883</v>
      </c>
      <c r="D83" s="69">
        <v>1118</v>
      </c>
      <c r="E83" s="62" t="s">
        <v>2934</v>
      </c>
      <c r="F83" s="63" t="s">
        <v>2851</v>
      </c>
      <c r="G83" s="64"/>
      <c r="H83" s="64">
        <v>46059</v>
      </c>
      <c r="I83" s="66">
        <f t="shared" si="7"/>
        <v>46066</v>
      </c>
    </row>
    <row r="84" spans="1:9" x14ac:dyDescent="0.35">
      <c r="A84" s="60" t="s">
        <v>2813</v>
      </c>
      <c r="B84" s="60" t="s">
        <v>2935</v>
      </c>
      <c r="C84" s="60" t="s">
        <v>2905</v>
      </c>
      <c r="D84" s="69">
        <v>1119</v>
      </c>
      <c r="E84" s="62" t="s">
        <v>2936</v>
      </c>
      <c r="F84" s="63" t="s">
        <v>2820</v>
      </c>
      <c r="G84" s="71">
        <v>46066</v>
      </c>
      <c r="H84" s="64">
        <v>46090</v>
      </c>
      <c r="I84" s="66"/>
    </row>
    <row r="85" spans="1:9" x14ac:dyDescent="0.35">
      <c r="A85" s="72" t="s">
        <v>2813</v>
      </c>
      <c r="B85" s="72" t="s">
        <v>2935</v>
      </c>
      <c r="C85" s="60" t="s">
        <v>2905</v>
      </c>
      <c r="D85" s="73">
        <v>1120</v>
      </c>
      <c r="E85" s="74" t="s">
        <v>2937</v>
      </c>
      <c r="F85" s="63" t="s">
        <v>2820</v>
      </c>
      <c r="G85" s="71">
        <v>46066</v>
      </c>
      <c r="H85" s="64">
        <v>46090</v>
      </c>
      <c r="I85" s="66"/>
    </row>
    <row r="86" spans="1:9" x14ac:dyDescent="0.35">
      <c r="A86" s="72" t="s">
        <v>2813</v>
      </c>
      <c r="B86" s="72" t="s">
        <v>2926</v>
      </c>
      <c r="C86" s="60" t="s">
        <v>2780</v>
      </c>
      <c r="D86" s="73">
        <v>1121</v>
      </c>
      <c r="E86" s="74" t="s">
        <v>2938</v>
      </c>
      <c r="F86" s="63" t="s">
        <v>2851</v>
      </c>
      <c r="G86" s="64">
        <v>46038</v>
      </c>
      <c r="H86" s="64">
        <v>46059</v>
      </c>
      <c r="I86" s="66"/>
    </row>
    <row r="87" spans="1:9" x14ac:dyDescent="0.35">
      <c r="A87" s="72" t="s">
        <v>2813</v>
      </c>
      <c r="B87" s="72" t="s">
        <v>2939</v>
      </c>
      <c r="C87" s="60" t="s">
        <v>2780</v>
      </c>
      <c r="D87" s="73">
        <v>1122</v>
      </c>
      <c r="E87" s="74" t="s">
        <v>2940</v>
      </c>
      <c r="F87" s="63" t="s">
        <v>2851</v>
      </c>
      <c r="G87" s="64">
        <v>46052</v>
      </c>
      <c r="H87" s="64">
        <v>46059</v>
      </c>
      <c r="I87" s="65"/>
    </row>
    <row r="88" spans="1:9" x14ac:dyDescent="0.35">
      <c r="A88" s="72" t="s">
        <v>2810</v>
      </c>
      <c r="B88" s="72" t="s">
        <v>2941</v>
      </c>
      <c r="C88" s="60" t="s">
        <v>2877</v>
      </c>
      <c r="D88" s="73">
        <v>1123</v>
      </c>
      <c r="E88" s="74" t="s">
        <v>2942</v>
      </c>
      <c r="F88" s="75" t="s">
        <v>2820</v>
      </c>
      <c r="G88" s="64">
        <v>46052</v>
      </c>
      <c r="H88" s="64">
        <v>46076</v>
      </c>
      <c r="I88" s="65"/>
    </row>
    <row r="89" spans="1:9" x14ac:dyDescent="0.35">
      <c r="A89" s="72" t="s">
        <v>2802</v>
      </c>
      <c r="B89" s="72" t="s">
        <v>2943</v>
      </c>
      <c r="C89" s="60" t="s">
        <v>2905</v>
      </c>
      <c r="D89" s="76">
        <v>2566</v>
      </c>
      <c r="E89" s="74" t="s">
        <v>2944</v>
      </c>
      <c r="F89" s="75" t="s">
        <v>2820</v>
      </c>
      <c r="G89" s="64">
        <v>46052</v>
      </c>
      <c r="H89" s="64">
        <v>46065</v>
      </c>
      <c r="I89" s="65"/>
    </row>
    <row r="90" spans="1:9" x14ac:dyDescent="0.35">
      <c r="A90" s="72" t="s">
        <v>2802</v>
      </c>
      <c r="B90" s="72" t="s">
        <v>2943</v>
      </c>
      <c r="C90" s="60" t="s">
        <v>2780</v>
      </c>
      <c r="D90" s="76">
        <v>2568</v>
      </c>
      <c r="E90" s="74" t="s">
        <v>1130</v>
      </c>
      <c r="F90" s="75" t="s">
        <v>2820</v>
      </c>
      <c r="G90" s="64">
        <v>46052</v>
      </c>
      <c r="H90" s="64">
        <v>46065</v>
      </c>
      <c r="I90" s="66"/>
    </row>
    <row r="91" spans="1:9" x14ac:dyDescent="0.35">
      <c r="A91" s="72" t="s">
        <v>2778</v>
      </c>
      <c r="B91" s="72" t="s">
        <v>2945</v>
      </c>
      <c r="C91" s="72" t="s">
        <v>2780</v>
      </c>
      <c r="D91" s="73">
        <v>1125</v>
      </c>
      <c r="E91" s="74" t="s">
        <v>2946</v>
      </c>
      <c r="F91" s="63" t="s">
        <v>2808</v>
      </c>
      <c r="G91" s="64"/>
      <c r="H91" s="75"/>
      <c r="I91" s="65"/>
    </row>
    <row r="92" spans="1:9" x14ac:dyDescent="0.35">
      <c r="A92" s="72" t="s">
        <v>2813</v>
      </c>
      <c r="B92" s="72" t="s">
        <v>2947</v>
      </c>
      <c r="C92" s="72" t="s">
        <v>2783</v>
      </c>
      <c r="D92" s="73">
        <v>1128</v>
      </c>
      <c r="E92" s="74" t="s">
        <v>2948</v>
      </c>
      <c r="F92" s="75" t="s">
        <v>2820</v>
      </c>
      <c r="G92" s="71">
        <v>46066</v>
      </c>
      <c r="H92" s="64">
        <v>46090</v>
      </c>
      <c r="I92" s="66"/>
    </row>
    <row r="93" spans="1:9" x14ac:dyDescent="0.35">
      <c r="A93" s="72" t="s">
        <v>2813</v>
      </c>
      <c r="B93" s="72" t="s">
        <v>2949</v>
      </c>
      <c r="C93" s="72" t="s">
        <v>2783</v>
      </c>
      <c r="D93" s="73">
        <v>1129</v>
      </c>
      <c r="E93" s="74" t="s">
        <v>2950</v>
      </c>
      <c r="F93" s="75" t="s">
        <v>2928</v>
      </c>
      <c r="G93" s="71">
        <v>46066</v>
      </c>
      <c r="H93" s="64">
        <v>46052</v>
      </c>
      <c r="I93" s="66"/>
    </row>
    <row r="94" spans="1:9" x14ac:dyDescent="0.35">
      <c r="A94" s="72" t="s">
        <v>2813</v>
      </c>
      <c r="B94" s="72" t="s">
        <v>2926</v>
      </c>
      <c r="C94" s="72" t="s">
        <v>2806</v>
      </c>
      <c r="D94" s="73">
        <v>1130</v>
      </c>
      <c r="E94" s="74" t="s">
        <v>2951</v>
      </c>
      <c r="F94" s="75" t="s">
        <v>2851</v>
      </c>
      <c r="G94" s="64">
        <v>45673</v>
      </c>
      <c r="H94" s="64">
        <v>46059</v>
      </c>
      <c r="I94" s="66"/>
    </row>
    <row r="95" spans="1:9" x14ac:dyDescent="0.35">
      <c r="A95" s="72" t="s">
        <v>2813</v>
      </c>
      <c r="B95" s="72" t="s">
        <v>2952</v>
      </c>
      <c r="C95" s="72" t="s">
        <v>2953</v>
      </c>
      <c r="D95" s="73">
        <v>1131</v>
      </c>
      <c r="E95" s="74" t="s">
        <v>2954</v>
      </c>
      <c r="F95" s="75" t="s">
        <v>2928</v>
      </c>
      <c r="G95" s="71">
        <v>46052</v>
      </c>
      <c r="H95" s="64">
        <v>46066</v>
      </c>
      <c r="I95" s="66"/>
    </row>
    <row r="96" spans="1:9" x14ac:dyDescent="0.35">
      <c r="A96" s="72" t="s">
        <v>2813</v>
      </c>
      <c r="B96" s="72" t="s">
        <v>2947</v>
      </c>
      <c r="C96" s="72" t="s">
        <v>2953</v>
      </c>
      <c r="D96" s="73">
        <v>1133</v>
      </c>
      <c r="E96" s="74" t="s">
        <v>2955</v>
      </c>
      <c r="F96" s="75" t="s">
        <v>2820</v>
      </c>
      <c r="G96" s="71">
        <v>46066</v>
      </c>
      <c r="H96" s="64">
        <v>46090</v>
      </c>
      <c r="I96" s="66"/>
    </row>
    <row r="97" spans="1:9" x14ac:dyDescent="0.35">
      <c r="A97" s="72" t="s">
        <v>2813</v>
      </c>
      <c r="B97" s="72" t="s">
        <v>2956</v>
      </c>
      <c r="C97" s="72" t="s">
        <v>2784</v>
      </c>
      <c r="D97" s="73">
        <v>1149</v>
      </c>
      <c r="E97" s="74" t="s">
        <v>2957</v>
      </c>
      <c r="F97" s="75" t="s">
        <v>2782</v>
      </c>
      <c r="G97" s="64" t="s">
        <v>2783</v>
      </c>
      <c r="H97" s="64" t="s">
        <v>2783</v>
      </c>
      <c r="I97" s="66"/>
    </row>
    <row r="98" spans="1:9" x14ac:dyDescent="0.35">
      <c r="A98" s="72" t="s">
        <v>2813</v>
      </c>
      <c r="B98" s="72" t="s">
        <v>2956</v>
      </c>
      <c r="C98" s="72" t="s">
        <v>2873</v>
      </c>
      <c r="D98" s="73">
        <v>1150</v>
      </c>
      <c r="E98" s="74" t="s">
        <v>2958</v>
      </c>
      <c r="F98" s="75" t="s">
        <v>2782</v>
      </c>
      <c r="G98" s="64" t="s">
        <v>2783</v>
      </c>
      <c r="H98" s="64" t="s">
        <v>2783</v>
      </c>
      <c r="I98" s="66"/>
    </row>
    <row r="99" spans="1:9" x14ac:dyDescent="0.35">
      <c r="A99" s="72" t="s">
        <v>2813</v>
      </c>
      <c r="B99" s="72" t="s">
        <v>2959</v>
      </c>
      <c r="C99" s="72" t="s">
        <v>2784</v>
      </c>
      <c r="D99" s="73">
        <v>1151</v>
      </c>
      <c r="E99" s="74" t="s">
        <v>2960</v>
      </c>
      <c r="F99" s="75" t="s">
        <v>2820</v>
      </c>
      <c r="G99" s="64" t="s">
        <v>2783</v>
      </c>
      <c r="H99" s="64" t="s">
        <v>2783</v>
      </c>
      <c r="I99" s="66"/>
    </row>
    <row r="100" spans="1:9" x14ac:dyDescent="0.35">
      <c r="A100" s="72" t="s">
        <v>2813</v>
      </c>
      <c r="B100" s="72" t="s">
        <v>2879</v>
      </c>
      <c r="C100" s="72" t="s">
        <v>2926</v>
      </c>
      <c r="D100" s="77">
        <v>1162</v>
      </c>
      <c r="E100" s="74" t="s">
        <v>2880</v>
      </c>
      <c r="F100" s="78" t="s">
        <v>2851</v>
      </c>
      <c r="G100" s="64">
        <v>45673</v>
      </c>
      <c r="H100" s="64">
        <v>46066</v>
      </c>
      <c r="I100" s="66"/>
    </row>
    <row r="101" spans="1:9" x14ac:dyDescent="0.35">
      <c r="A101" s="72" t="s">
        <v>2813</v>
      </c>
      <c r="B101" s="72" t="s">
        <v>2879</v>
      </c>
      <c r="C101" s="72" t="s">
        <v>2926</v>
      </c>
      <c r="D101" s="73">
        <v>1163</v>
      </c>
      <c r="E101" s="74" t="s">
        <v>2880</v>
      </c>
      <c r="F101" s="78" t="s">
        <v>2851</v>
      </c>
      <c r="G101" s="64">
        <v>45673</v>
      </c>
      <c r="H101" s="64">
        <v>46066</v>
      </c>
      <c r="I101" s="66"/>
    </row>
    <row r="102" spans="1:9" x14ac:dyDescent="0.35">
      <c r="A102" s="72" t="s">
        <v>2813</v>
      </c>
      <c r="B102" s="72" t="s">
        <v>2879</v>
      </c>
      <c r="C102" s="72" t="s">
        <v>2961</v>
      </c>
      <c r="D102" s="73">
        <v>1164</v>
      </c>
      <c r="E102" s="74" t="s">
        <v>2880</v>
      </c>
      <c r="F102" s="78" t="s">
        <v>2851</v>
      </c>
      <c r="G102" s="64">
        <v>45673</v>
      </c>
      <c r="H102" s="64">
        <v>46066</v>
      </c>
      <c r="I102" s="66"/>
    </row>
    <row r="103" spans="1:9" x14ac:dyDescent="0.35">
      <c r="A103" s="72" t="s">
        <v>2813</v>
      </c>
      <c r="B103" s="72" t="s">
        <v>2879</v>
      </c>
      <c r="C103" s="72" t="s">
        <v>2961</v>
      </c>
      <c r="D103" s="73">
        <v>1165</v>
      </c>
      <c r="E103" s="74" t="s">
        <v>2880</v>
      </c>
      <c r="F103" s="78" t="s">
        <v>2851</v>
      </c>
      <c r="G103" s="64">
        <v>45673</v>
      </c>
      <c r="H103" s="64">
        <v>46066</v>
      </c>
      <c r="I103" s="66"/>
    </row>
    <row r="104" spans="1:9" x14ac:dyDescent="0.35">
      <c r="A104" s="60" t="s">
        <v>2813</v>
      </c>
      <c r="B104" s="60" t="s">
        <v>2939</v>
      </c>
      <c r="C104" s="72" t="s">
        <v>2961</v>
      </c>
      <c r="D104" s="69">
        <v>1166</v>
      </c>
      <c r="E104" s="62" t="s">
        <v>2940</v>
      </c>
      <c r="F104" s="78" t="s">
        <v>2851</v>
      </c>
      <c r="G104" s="79">
        <v>46052</v>
      </c>
      <c r="H104" s="64">
        <v>46059</v>
      </c>
      <c r="I104" s="66"/>
    </row>
    <row r="105" spans="1:9" x14ac:dyDescent="0.35">
      <c r="A105" s="60"/>
      <c r="B105" s="60"/>
      <c r="C105" s="60"/>
      <c r="D105" s="69"/>
      <c r="E105" s="62"/>
      <c r="F105" s="63"/>
      <c r="G105" s="64"/>
      <c r="H105" s="64"/>
      <c r="I105" s="66"/>
    </row>
    <row r="106" spans="1:9" x14ac:dyDescent="0.35">
      <c r="A106" s="60"/>
      <c r="B106" s="60"/>
      <c r="C106" s="61"/>
      <c r="D106" s="61"/>
      <c r="E106" s="62"/>
      <c r="F106" s="63"/>
      <c r="G106" s="79"/>
      <c r="H106" s="64"/>
      <c r="I106" s="65"/>
    </row>
    <row r="107" spans="1:9" x14ac:dyDescent="0.35">
      <c r="A107" s="60"/>
      <c r="B107" s="60"/>
      <c r="C107" s="61"/>
      <c r="D107" s="61"/>
      <c r="E107" s="62"/>
      <c r="F107" s="63"/>
      <c r="G107" s="64"/>
      <c r="H107" s="64"/>
      <c r="I107" s="65"/>
    </row>
    <row r="108" spans="1:9" x14ac:dyDescent="0.35">
      <c r="A108" s="60"/>
      <c r="B108" s="60"/>
      <c r="C108" s="61"/>
      <c r="D108" s="61"/>
      <c r="E108" s="62"/>
      <c r="F108" s="63"/>
      <c r="G108" s="64"/>
      <c r="H108" s="64"/>
      <c r="I108" s="65"/>
    </row>
    <row r="109" spans="1:9" x14ac:dyDescent="0.35">
      <c r="A109" s="60"/>
      <c r="B109" s="60"/>
      <c r="C109" s="69"/>
      <c r="D109" s="69"/>
      <c r="E109" s="62"/>
      <c r="F109" s="63"/>
      <c r="G109" s="79"/>
      <c r="H109" s="64"/>
      <c r="I109" s="65"/>
    </row>
    <row r="110" spans="1:9" x14ac:dyDescent="0.35">
      <c r="A110" s="60"/>
      <c r="B110" s="60"/>
      <c r="C110" s="69"/>
      <c r="D110" s="69"/>
      <c r="E110" s="62"/>
      <c r="F110" s="63"/>
      <c r="G110" s="79"/>
      <c r="H110" s="64"/>
      <c r="I110" s="65"/>
    </row>
    <row r="111" spans="1:9" x14ac:dyDescent="0.35">
      <c r="A111" s="60"/>
      <c r="B111" s="60"/>
      <c r="C111" s="69"/>
      <c r="D111" s="69"/>
      <c r="E111" s="62"/>
      <c r="F111" s="63"/>
      <c r="G111" s="64"/>
      <c r="H111" s="64"/>
      <c r="I111" s="65"/>
    </row>
    <row r="112" spans="1:9" x14ac:dyDescent="0.35">
      <c r="A112" s="60"/>
      <c r="B112" s="60"/>
      <c r="C112" s="69"/>
      <c r="D112" s="69"/>
      <c r="E112" s="62"/>
      <c r="F112" s="63"/>
      <c r="G112" s="64"/>
      <c r="H112" s="64"/>
      <c r="I112" s="65"/>
    </row>
    <row r="113" spans="1:9" x14ac:dyDescent="0.35">
      <c r="A113" s="60"/>
      <c r="B113" s="60"/>
      <c r="C113" s="69"/>
      <c r="D113" s="69"/>
      <c r="E113" s="62"/>
      <c r="F113" s="63"/>
      <c r="G113" s="64"/>
      <c r="H113" s="64"/>
      <c r="I113" s="65"/>
    </row>
    <row r="114" spans="1:9" x14ac:dyDescent="0.35">
      <c r="A114" s="60"/>
      <c r="B114" s="60"/>
      <c r="C114" s="69"/>
      <c r="D114" s="69"/>
      <c r="E114" s="62"/>
      <c r="F114" s="63"/>
      <c r="G114" s="79"/>
      <c r="H114" s="64"/>
      <c r="I114" s="65"/>
    </row>
    <row r="115" spans="1:9" x14ac:dyDescent="0.35">
      <c r="A115" s="60"/>
      <c r="B115" s="60"/>
      <c r="C115" s="69"/>
      <c r="D115" s="69"/>
      <c r="E115" s="62"/>
      <c r="F115" s="63"/>
      <c r="G115" s="64"/>
      <c r="H115" s="64"/>
      <c r="I115" s="65"/>
    </row>
    <row r="116" spans="1:9" x14ac:dyDescent="0.35">
      <c r="A116" s="60"/>
      <c r="B116" s="60"/>
      <c r="C116" s="69"/>
      <c r="D116" s="69"/>
      <c r="E116" s="62"/>
      <c r="F116" s="63"/>
      <c r="G116" s="64"/>
      <c r="H116" s="64"/>
      <c r="I116" s="65"/>
    </row>
    <row r="117" spans="1:9" x14ac:dyDescent="0.35">
      <c r="A117" s="60"/>
      <c r="B117" s="60"/>
      <c r="C117" s="61"/>
      <c r="D117" s="61"/>
      <c r="E117" s="62"/>
      <c r="F117" s="63"/>
      <c r="G117" s="64"/>
      <c r="H117" s="64"/>
      <c r="I117" s="65"/>
    </row>
    <row r="118" spans="1:9" x14ac:dyDescent="0.35">
      <c r="A118" s="60"/>
      <c r="B118" s="60"/>
      <c r="C118" s="61"/>
      <c r="D118" s="61"/>
      <c r="E118" s="62"/>
      <c r="F118" s="63"/>
      <c r="G118" s="64"/>
      <c r="H118" s="64"/>
      <c r="I118" s="65"/>
    </row>
    <row r="119" spans="1:9" x14ac:dyDescent="0.35">
      <c r="A119" s="60"/>
      <c r="B119" s="60"/>
      <c r="C119" s="61"/>
      <c r="D119" s="61"/>
      <c r="E119" s="62"/>
      <c r="F119" s="63"/>
      <c r="G119" s="64"/>
      <c r="H119" s="64"/>
      <c r="I119" s="65"/>
    </row>
    <row r="120" spans="1:9" x14ac:dyDescent="0.35">
      <c r="A120" s="60"/>
      <c r="B120" s="60"/>
      <c r="C120" s="61"/>
      <c r="D120" s="61"/>
      <c r="E120" s="62"/>
      <c r="F120" s="63"/>
      <c r="G120" s="64"/>
      <c r="H120" s="64"/>
      <c r="I120" s="65"/>
    </row>
    <row r="121" spans="1:9" x14ac:dyDescent="0.35">
      <c r="A121" s="60"/>
      <c r="B121" s="60"/>
      <c r="C121" s="61"/>
      <c r="D121" s="61"/>
      <c r="E121" s="62"/>
      <c r="F121" s="63"/>
      <c r="G121" s="64"/>
      <c r="H121" s="64"/>
      <c r="I121" s="66"/>
    </row>
    <row r="122" spans="1:9" x14ac:dyDescent="0.35">
      <c r="A122" s="60"/>
      <c r="B122" s="60"/>
      <c r="C122" s="61"/>
      <c r="D122" s="61"/>
      <c r="E122" s="62"/>
      <c r="F122" s="63"/>
      <c r="G122" s="64"/>
      <c r="H122" s="64"/>
      <c r="I122" s="66"/>
    </row>
    <row r="123" spans="1:9" x14ac:dyDescent="0.35">
      <c r="A123" s="60"/>
      <c r="B123" s="60"/>
      <c r="C123" s="61"/>
      <c r="D123" s="61"/>
      <c r="E123" s="62"/>
      <c r="F123" s="63"/>
      <c r="G123" s="64"/>
      <c r="H123" s="64"/>
      <c r="I123" s="66"/>
    </row>
    <row r="124" spans="1:9" x14ac:dyDescent="0.35">
      <c r="A124" s="60"/>
      <c r="B124" s="60"/>
      <c r="C124" s="61"/>
      <c r="D124" s="61"/>
      <c r="E124" s="62"/>
      <c r="F124" s="63"/>
      <c r="G124" s="64"/>
      <c r="H124" s="64"/>
      <c r="I124" s="65"/>
    </row>
    <row r="125" spans="1:9" x14ac:dyDescent="0.35">
      <c r="A125" s="60"/>
      <c r="B125" s="60"/>
      <c r="C125" s="61"/>
      <c r="D125" s="61"/>
      <c r="E125" s="62"/>
      <c r="F125" s="63"/>
      <c r="G125" s="64"/>
      <c r="H125" s="64"/>
      <c r="I125" s="65"/>
    </row>
    <row r="126" spans="1:9" x14ac:dyDescent="0.35">
      <c r="A126" s="60"/>
      <c r="B126" s="60"/>
      <c r="C126" s="61"/>
      <c r="D126" s="61"/>
      <c r="E126" s="62"/>
      <c r="F126" s="63"/>
      <c r="G126" s="64"/>
      <c r="H126" s="64"/>
      <c r="I126" s="65"/>
    </row>
    <row r="127" spans="1:9" x14ac:dyDescent="0.35">
      <c r="A127" s="60"/>
      <c r="B127" s="60"/>
      <c r="C127" s="61"/>
      <c r="D127" s="61"/>
      <c r="E127" s="62"/>
      <c r="F127" s="63"/>
      <c r="G127" s="64"/>
      <c r="H127" s="64"/>
      <c r="I127" s="65"/>
    </row>
    <row r="128" spans="1:9" x14ac:dyDescent="0.35">
      <c r="A128" s="60"/>
      <c r="B128" s="60"/>
      <c r="C128" s="61"/>
      <c r="D128" s="61"/>
      <c r="E128" s="62"/>
      <c r="F128" s="63"/>
      <c r="G128" s="64"/>
      <c r="H128" s="64"/>
      <c r="I128" s="65"/>
    </row>
    <row r="129" spans="1:9" x14ac:dyDescent="0.35">
      <c r="A129" s="60"/>
      <c r="B129" s="60"/>
      <c r="C129" s="61"/>
      <c r="D129" s="61"/>
      <c r="E129" s="62"/>
      <c r="F129" s="63"/>
      <c r="G129" s="64"/>
      <c r="H129" s="64"/>
      <c r="I129" s="65"/>
    </row>
    <row r="130" spans="1:9" x14ac:dyDescent="0.35">
      <c r="A130" s="60"/>
      <c r="B130" s="60"/>
      <c r="C130" s="61"/>
      <c r="D130" s="61"/>
      <c r="E130" s="62"/>
      <c r="F130" s="63"/>
      <c r="G130" s="64"/>
      <c r="H130" s="64"/>
      <c r="I130" s="65"/>
    </row>
    <row r="131" spans="1:9" x14ac:dyDescent="0.35">
      <c r="A131" s="60"/>
      <c r="B131" s="60"/>
      <c r="C131" s="61"/>
      <c r="D131" s="61"/>
      <c r="E131" s="62"/>
      <c r="F131" s="63"/>
      <c r="G131" s="64"/>
      <c r="H131" s="64"/>
      <c r="I131" s="65"/>
    </row>
    <row r="132" spans="1:9" x14ac:dyDescent="0.35">
      <c r="A132" s="60"/>
      <c r="B132" s="60"/>
      <c r="C132" s="61"/>
      <c r="D132" s="61"/>
      <c r="E132" s="62"/>
      <c r="F132" s="63"/>
      <c r="G132" s="64"/>
      <c r="H132" s="64"/>
    </row>
    <row r="133" spans="1:9" x14ac:dyDescent="0.35">
      <c r="A133" s="60"/>
      <c r="B133" s="60"/>
      <c r="C133" s="61"/>
      <c r="D133" s="61"/>
      <c r="E133" s="62"/>
      <c r="F133" s="63"/>
      <c r="G133" s="64"/>
      <c r="H133" s="64"/>
    </row>
    <row r="134" spans="1:9" x14ac:dyDescent="0.35">
      <c r="A134" s="60"/>
      <c r="B134" s="60"/>
      <c r="C134" s="61"/>
      <c r="D134" s="61"/>
      <c r="E134" s="62"/>
      <c r="F134" s="63"/>
      <c r="G134" s="64"/>
      <c r="H134" s="64"/>
    </row>
    <row r="135" spans="1:9" x14ac:dyDescent="0.35">
      <c r="A135" s="60"/>
      <c r="B135" s="60"/>
      <c r="C135" s="61"/>
      <c r="D135" s="61"/>
      <c r="E135" s="62"/>
      <c r="F135" s="63"/>
      <c r="G135" s="64"/>
      <c r="H135" s="64"/>
    </row>
    <row r="136" spans="1:9" x14ac:dyDescent="0.35">
      <c r="A136" s="60"/>
      <c r="B136" s="60"/>
      <c r="C136" s="61"/>
      <c r="D136" s="61"/>
      <c r="E136" s="62"/>
      <c r="F136" s="63"/>
      <c r="G136" s="64"/>
      <c r="H136" s="64"/>
    </row>
    <row r="137" spans="1:9" x14ac:dyDescent="0.35">
      <c r="A137" s="60"/>
      <c r="B137" s="60"/>
      <c r="C137" s="69"/>
      <c r="D137" s="69"/>
      <c r="E137" s="62"/>
      <c r="F137" s="63"/>
      <c r="G137" s="80"/>
      <c r="H137" s="64"/>
    </row>
    <row r="138" spans="1:9" x14ac:dyDescent="0.35">
      <c r="A138" s="60"/>
      <c r="B138" s="60"/>
      <c r="C138" s="61"/>
      <c r="D138" s="61"/>
      <c r="E138" s="62"/>
      <c r="F138" s="63"/>
      <c r="G138" s="64"/>
      <c r="H138" s="64"/>
    </row>
    <row r="139" spans="1:9" x14ac:dyDescent="0.35">
      <c r="A139" s="60"/>
      <c r="B139" s="60"/>
      <c r="C139" s="61"/>
      <c r="D139" s="61"/>
      <c r="E139" s="62"/>
      <c r="F139" s="63"/>
      <c r="G139" s="64"/>
      <c r="H139" s="64"/>
    </row>
    <row r="140" spans="1:9" x14ac:dyDescent="0.35">
      <c r="A140" s="60"/>
      <c r="B140" s="60"/>
      <c r="C140" s="69"/>
      <c r="D140" s="69"/>
      <c r="E140" s="62"/>
      <c r="F140" s="63"/>
      <c r="G140" s="71"/>
      <c r="H140" s="64"/>
    </row>
    <row r="141" spans="1:9" x14ac:dyDescent="0.35">
      <c r="A141" s="60"/>
      <c r="B141" s="60"/>
      <c r="C141" s="61"/>
      <c r="D141" s="61"/>
      <c r="E141" s="62"/>
      <c r="F141" s="63"/>
      <c r="G141" s="79"/>
      <c r="H141" s="64"/>
    </row>
    <row r="142" spans="1:9" x14ac:dyDescent="0.35">
      <c r="A142" s="60"/>
      <c r="B142" s="60"/>
      <c r="C142" s="61"/>
      <c r="D142" s="61"/>
      <c r="E142" s="62"/>
      <c r="F142" s="63"/>
      <c r="G142" s="79"/>
      <c r="H142" s="64"/>
    </row>
    <row r="143" spans="1:9" x14ac:dyDescent="0.35">
      <c r="A143" s="60"/>
      <c r="B143" s="60"/>
      <c r="C143" s="69"/>
      <c r="D143" s="69"/>
      <c r="E143" s="62"/>
      <c r="F143" s="63"/>
      <c r="G143" s="71"/>
      <c r="H143" s="64"/>
    </row>
    <row r="144" spans="1:9" x14ac:dyDescent="0.35">
      <c r="A144" s="60"/>
      <c r="B144" s="60"/>
      <c r="C144" s="69"/>
      <c r="D144" s="69"/>
      <c r="E144" s="62"/>
      <c r="F144" s="63"/>
      <c r="G144" s="71"/>
      <c r="H144" s="64"/>
    </row>
    <row r="145" spans="1:8" x14ac:dyDescent="0.35">
      <c r="A145" s="60"/>
      <c r="B145" s="60"/>
      <c r="C145" s="69"/>
      <c r="D145" s="69"/>
      <c r="E145" s="62"/>
      <c r="F145" s="63"/>
      <c r="G145" s="71"/>
      <c r="H145" s="64"/>
    </row>
    <row r="146" spans="1:8" x14ac:dyDescent="0.35">
      <c r="A146" s="60"/>
      <c r="B146" s="60"/>
      <c r="C146" s="69"/>
      <c r="D146" s="69"/>
      <c r="E146" s="62"/>
      <c r="F146" s="63"/>
      <c r="G146" s="79"/>
      <c r="H146" s="64"/>
    </row>
    <row r="147" spans="1:8" x14ac:dyDescent="0.35">
      <c r="A147" s="60"/>
      <c r="B147" s="60"/>
      <c r="C147" s="69"/>
      <c r="D147" s="69"/>
      <c r="E147" s="62"/>
      <c r="F147" s="63"/>
      <c r="G147" s="64"/>
      <c r="H147" s="64"/>
    </row>
    <row r="148" spans="1:8" x14ac:dyDescent="0.35">
      <c r="A148" s="60"/>
      <c r="B148" s="60"/>
      <c r="C148" s="69"/>
      <c r="D148" s="69"/>
      <c r="E148" s="62"/>
      <c r="F148" s="63"/>
      <c r="G148" s="64"/>
      <c r="H148" s="64"/>
    </row>
    <row r="149" spans="1:8" x14ac:dyDescent="0.35">
      <c r="A149" s="60"/>
      <c r="B149" s="60"/>
      <c r="C149" s="69"/>
      <c r="D149" s="69"/>
      <c r="E149" s="62"/>
      <c r="F149" s="63"/>
      <c r="G149" s="80"/>
      <c r="H149" s="64"/>
    </row>
    <row r="150" spans="1:8" x14ac:dyDescent="0.35">
      <c r="A150" s="60"/>
      <c r="B150" s="60"/>
      <c r="C150" s="69"/>
      <c r="D150" s="69"/>
      <c r="E150" s="62"/>
      <c r="F150" s="63"/>
      <c r="G150" s="71"/>
      <c r="H150" s="64"/>
    </row>
    <row r="151" spans="1:8" x14ac:dyDescent="0.35">
      <c r="A151" s="60"/>
      <c r="B151" s="60"/>
      <c r="C151" s="69"/>
      <c r="D151" s="69"/>
      <c r="E151" s="62"/>
      <c r="F151" s="63"/>
      <c r="G151" s="79"/>
      <c r="H151" s="64"/>
    </row>
    <row r="152" spans="1:8" x14ac:dyDescent="0.35">
      <c r="A152" s="60"/>
      <c r="B152" s="60"/>
      <c r="C152" s="69"/>
      <c r="D152" s="69"/>
      <c r="E152" s="62"/>
      <c r="F152" s="63"/>
      <c r="G152" s="79"/>
      <c r="H152" s="64"/>
    </row>
    <row r="153" spans="1:8" x14ac:dyDescent="0.35">
      <c r="A153" s="60"/>
      <c r="B153" s="60"/>
      <c r="C153" s="69"/>
      <c r="D153" s="69"/>
      <c r="E153" s="62"/>
      <c r="F153" s="63"/>
      <c r="G153" s="79"/>
      <c r="H153" s="64"/>
    </row>
    <row r="154" spans="1:8" x14ac:dyDescent="0.35">
      <c r="A154" s="60"/>
      <c r="B154" s="60"/>
      <c r="C154" s="69"/>
      <c r="D154" s="69"/>
      <c r="E154" s="62"/>
      <c r="F154" s="63"/>
      <c r="G154" s="79"/>
      <c r="H154" s="64"/>
    </row>
    <row r="155" spans="1:8" x14ac:dyDescent="0.35">
      <c r="A155" s="60"/>
      <c r="B155" s="60"/>
      <c r="C155" s="69"/>
      <c r="D155" s="69"/>
      <c r="E155" s="62"/>
      <c r="F155" s="63"/>
      <c r="G155" s="64"/>
      <c r="H155" s="64"/>
    </row>
    <row r="156" spans="1:8" x14ac:dyDescent="0.35">
      <c r="A156" s="60"/>
      <c r="B156" s="60"/>
      <c r="C156" s="69"/>
      <c r="D156" s="69"/>
      <c r="E156" s="62"/>
      <c r="F156" s="63"/>
      <c r="G156" s="71"/>
      <c r="H156" s="64"/>
    </row>
    <row r="157" spans="1:8" x14ac:dyDescent="0.35">
      <c r="A157" s="60"/>
      <c r="B157" s="60"/>
      <c r="C157" s="69"/>
      <c r="D157" s="69"/>
      <c r="E157" s="62"/>
      <c r="F157" s="63"/>
      <c r="G157" s="71"/>
      <c r="H157" s="64"/>
    </row>
    <row r="158" spans="1:8" x14ac:dyDescent="0.35">
      <c r="A158" s="60"/>
      <c r="B158" s="60"/>
      <c r="C158" s="69"/>
      <c r="D158" s="69"/>
      <c r="E158" s="62"/>
      <c r="F158" s="63"/>
      <c r="G158" s="71"/>
      <c r="H158" s="64"/>
    </row>
    <row r="159" spans="1:8" x14ac:dyDescent="0.35">
      <c r="A159" s="60"/>
      <c r="B159" s="60"/>
      <c r="C159" s="69"/>
      <c r="D159" s="69"/>
      <c r="E159" s="62"/>
      <c r="F159" s="63"/>
      <c r="G159" s="71"/>
      <c r="H159" s="79"/>
    </row>
    <row r="160" spans="1:8" x14ac:dyDescent="0.35">
      <c r="A160" s="60"/>
      <c r="B160" s="60"/>
      <c r="C160" s="69"/>
      <c r="D160" s="69"/>
      <c r="E160" s="62"/>
      <c r="F160" s="63"/>
      <c r="G160" s="71"/>
      <c r="H160" s="64"/>
    </row>
    <row r="161" spans="1:8" x14ac:dyDescent="0.35">
      <c r="A161" s="60"/>
      <c r="B161" s="60"/>
      <c r="C161" s="69"/>
      <c r="D161" s="69"/>
      <c r="E161" s="62"/>
      <c r="F161" s="63"/>
      <c r="G161" s="71"/>
      <c r="H161" s="64"/>
    </row>
    <row r="162" spans="1:8" x14ac:dyDescent="0.35">
      <c r="A162" s="60"/>
      <c r="B162" s="60"/>
      <c r="C162" s="69"/>
      <c r="D162" s="69"/>
      <c r="E162" s="62"/>
      <c r="F162" s="63"/>
      <c r="G162" s="71"/>
      <c r="H162" s="64"/>
    </row>
    <row r="163" spans="1:8" x14ac:dyDescent="0.35">
      <c r="A163" s="60"/>
      <c r="B163" s="60"/>
      <c r="C163" s="69"/>
      <c r="D163" s="69"/>
      <c r="E163" s="62"/>
      <c r="F163" s="63"/>
      <c r="G163" s="71"/>
      <c r="H163" s="64"/>
    </row>
    <row r="164" spans="1:8" x14ac:dyDescent="0.35">
      <c r="A164" s="60"/>
      <c r="B164" s="60"/>
      <c r="C164" s="69"/>
      <c r="D164" s="69"/>
      <c r="E164" s="62"/>
      <c r="F164" s="63"/>
      <c r="G164" s="64"/>
      <c r="H164" s="64"/>
    </row>
    <row r="165" spans="1:8" x14ac:dyDescent="0.35">
      <c r="A165" s="60"/>
      <c r="B165" s="60"/>
      <c r="C165" s="69"/>
      <c r="D165" s="69"/>
      <c r="E165" s="62"/>
      <c r="F165" s="63"/>
      <c r="G165" s="64"/>
      <c r="H165" s="64"/>
    </row>
    <row r="166" spans="1:8" x14ac:dyDescent="0.35">
      <c r="A166" s="60"/>
      <c r="B166" s="60"/>
      <c r="C166" s="69"/>
      <c r="D166" s="69"/>
      <c r="E166" s="62"/>
      <c r="F166" s="63"/>
      <c r="G166" s="64"/>
      <c r="H166" s="64"/>
    </row>
    <row r="167" spans="1:8" x14ac:dyDescent="0.35">
      <c r="A167" s="60"/>
      <c r="B167" s="60"/>
      <c r="C167" s="69"/>
      <c r="D167" s="69"/>
      <c r="E167" s="62"/>
      <c r="F167" s="63"/>
      <c r="G167" s="71"/>
      <c r="H167" s="64"/>
    </row>
    <row r="168" spans="1:8" x14ac:dyDescent="0.35">
      <c r="A168" s="60"/>
      <c r="B168" s="60"/>
      <c r="C168" s="69"/>
      <c r="D168" s="69"/>
      <c r="E168" s="62"/>
      <c r="F168" s="63"/>
      <c r="G168" s="71"/>
      <c r="H168" s="64"/>
    </row>
    <row r="169" spans="1:8" x14ac:dyDescent="0.35">
      <c r="A169" s="72"/>
      <c r="B169" s="72"/>
      <c r="C169" s="73"/>
      <c r="D169" s="73"/>
      <c r="E169" s="74"/>
      <c r="F169" s="63"/>
      <c r="G169" s="64"/>
      <c r="H169" s="64"/>
    </row>
    <row r="170" spans="1:8" x14ac:dyDescent="0.35">
      <c r="A170" s="72"/>
      <c r="B170" s="72"/>
      <c r="C170" s="73"/>
      <c r="D170" s="73"/>
      <c r="E170" s="74"/>
      <c r="F170" s="63"/>
      <c r="G170" s="79"/>
      <c r="H170" s="64"/>
    </row>
    <row r="171" spans="1:8" x14ac:dyDescent="0.35">
      <c r="A171" s="72"/>
      <c r="B171" s="72"/>
      <c r="C171" s="73"/>
      <c r="D171" s="73"/>
      <c r="E171" s="74"/>
      <c r="F171" s="63"/>
      <c r="G171" s="79"/>
      <c r="H171" s="64"/>
    </row>
    <row r="172" spans="1:8" x14ac:dyDescent="0.35">
      <c r="A172" s="72"/>
      <c r="B172" s="72"/>
      <c r="C172" s="76"/>
      <c r="D172" s="76"/>
      <c r="E172" s="74"/>
      <c r="F172" s="75"/>
      <c r="G172" s="71"/>
      <c r="H172" s="64"/>
    </row>
    <row r="173" spans="1:8" x14ac:dyDescent="0.35">
      <c r="A173" s="72"/>
      <c r="B173" s="72"/>
      <c r="C173" s="76"/>
      <c r="D173" s="76"/>
      <c r="E173" s="74"/>
      <c r="F173" s="75"/>
      <c r="G173" s="71"/>
      <c r="H173" s="64"/>
    </row>
    <row r="174" spans="1:8" x14ac:dyDescent="0.35">
      <c r="A174" s="72"/>
      <c r="B174" s="72"/>
      <c r="C174" s="73"/>
      <c r="D174" s="73"/>
      <c r="E174" s="74"/>
      <c r="F174" s="75"/>
      <c r="G174" s="64"/>
      <c r="H174" s="64"/>
    </row>
    <row r="175" spans="1:8" x14ac:dyDescent="0.35">
      <c r="A175" s="60"/>
      <c r="B175" s="60"/>
      <c r="C175" s="69"/>
      <c r="D175" s="69"/>
      <c r="E175" s="62"/>
      <c r="F175" s="63"/>
      <c r="G175" s="64"/>
      <c r="H175" s="64"/>
    </row>
  </sheetData>
  <autoFilter ref="A1:I104" xr:uid="{82D0E926-E323-47D3-80F4-671E7F3B4498}"/>
  <conditionalFormatting sqref="C136">
    <cfRule type="duplicateValues" dxfId="61" priority="53"/>
  </conditionalFormatting>
  <conditionalFormatting sqref="D136">
    <cfRule type="duplicateValues" dxfId="60" priority="54"/>
  </conditionalFormatting>
  <conditionalFormatting sqref="G14:G15 G17:H28 G34:G37 G54 G56:H59 G97:H99">
    <cfRule type="expression" dxfId="59" priority="9">
      <formula>AND(G14&lt;=TODAY(),G14&lt;&gt;0,$N15&lt;&gt;"Disponível")</formula>
    </cfRule>
    <cfRule type="expression" dxfId="58" priority="10">
      <formula>AND(G14&gt;TODAY(),G14-TODAY()&lt;=3,G14-TODAY()&gt;1,G14&lt;&gt;0,$N15&lt;&gt;"Disponível")</formula>
    </cfRule>
    <cfRule type="expression" dxfId="57" priority="11">
      <formula>AND(G14&gt;TODAY(),G14-TODAY()&lt;=1,G14&lt;&gt;0,$N15&lt;&gt;"Disponível")</formula>
    </cfRule>
    <cfRule type="expression" dxfId="56" priority="12">
      <formula>AND(G14&gt;TODAY(),G14-TODAY()&lt;=10,G14-TODAY()&gt;3,G14&lt;&gt;0,$N15&lt;&gt;"Disponível")</formula>
    </cfRule>
  </conditionalFormatting>
  <conditionalFormatting sqref="G39:G40 G44">
    <cfRule type="expression" dxfId="55" priority="55">
      <formula>AND(G39&lt;=TODAY(),G39&lt;&gt;0,#REF!&lt;&gt;"Disponível")</formula>
    </cfRule>
    <cfRule type="expression" dxfId="54" priority="58">
      <formula>AND(G39&gt;TODAY(),G39-TODAY()&lt;=10,G39-TODAY()&gt;3,G39&lt;&gt;0,#REF!&lt;&gt;"Disponível")</formula>
    </cfRule>
    <cfRule type="expression" dxfId="53" priority="57">
      <formula>AND(G39&gt;TODAY(),G39-TODAY()&lt;=1,G39&lt;&gt;0,#REF!&lt;&gt;"Disponível")</formula>
    </cfRule>
    <cfRule type="expression" dxfId="52" priority="56">
      <formula>AND(G39&gt;TODAY(),G39-TODAY()&lt;=3,G39-TODAY()&gt;1,G39&lt;&gt;0,#REF!&lt;&gt;"Disponível")</formula>
    </cfRule>
  </conditionalFormatting>
  <conditionalFormatting sqref="G61:G74">
    <cfRule type="expression" dxfId="51" priority="8">
      <formula>AND(G61&gt;TODAY(),G61-TODAY()&lt;=10,G61-TODAY()&gt;3,G61&lt;&gt;0,$N62&lt;&gt;"Disponível")</formula>
    </cfRule>
    <cfRule type="expression" dxfId="50" priority="5">
      <formula>AND(G61&lt;=TODAY(),G61&lt;&gt;0,$N62&lt;&gt;"Disponível")</formula>
    </cfRule>
    <cfRule type="expression" dxfId="49" priority="6">
      <formula>AND(G61&gt;TODAY(),G61-TODAY()&lt;=3,G61-TODAY()&gt;1,G61&lt;&gt;0,$N62&lt;&gt;"Disponível")</formula>
    </cfRule>
    <cfRule type="expression" dxfId="48" priority="7">
      <formula>AND(G61&gt;TODAY(),G61-TODAY()&lt;=1,G61&lt;&gt;0,$N62&lt;&gt;"Disponível")</formula>
    </cfRule>
  </conditionalFormatting>
  <conditionalFormatting sqref="G86">
    <cfRule type="expression" dxfId="47" priority="2">
      <formula>AND(G86&gt;TODAY(),G86-TODAY()&lt;=3,G86-TODAY()&gt;1,G86&lt;&gt;0,$N87&lt;&gt;"Disponível")</formula>
    </cfRule>
    <cfRule type="expression" dxfId="46" priority="3">
      <formula>AND(G86&gt;TODAY(),G86-TODAY()&lt;=1,G86&lt;&gt;0,$N87&lt;&gt;"Disponível")</formula>
    </cfRule>
    <cfRule type="expression" dxfId="45" priority="4">
      <formula>AND(G86&gt;TODAY(),G86-TODAY()&lt;=10,G86-TODAY()&gt;3,G86&lt;&gt;0,$N87&lt;&gt;"Disponível")</formula>
    </cfRule>
    <cfRule type="expression" dxfId="44" priority="1">
      <formula>AND(G86&lt;=TODAY(),G86&lt;&gt;0,$N87&lt;&gt;"Disponível")</formula>
    </cfRule>
  </conditionalFormatting>
  <conditionalFormatting sqref="G106:G136">
    <cfRule type="expression" dxfId="43" priority="27">
      <formula>AND(G106&gt;TODAY(),G106-TODAY()&lt;=1,G106&lt;&gt;0,$N106&lt;&gt;"Disponível")</formula>
    </cfRule>
    <cfRule type="expression" dxfId="42" priority="28">
      <formula>AND(G106&gt;TODAY(),G106-TODAY()&lt;=10,G106-TODAY()&gt;3,G106&lt;&gt;0,$N106&lt;&gt;"Disponível")</formula>
    </cfRule>
    <cfRule type="expression" dxfId="41" priority="25">
      <formula>AND(G106&lt;=TODAY(),G106&lt;&gt;0,$N106&lt;&gt;"Disponível")</formula>
    </cfRule>
    <cfRule type="expression" dxfId="40" priority="26">
      <formula>AND(G106&gt;TODAY(),G106-TODAY()&lt;=3,G106-TODAY()&gt;1,G106&lt;&gt;0,$N106&lt;&gt;"Disponível")</formula>
    </cfRule>
  </conditionalFormatting>
  <conditionalFormatting sqref="G138:G139">
    <cfRule type="expression" dxfId="39" priority="50">
      <formula>AND(G138&gt;TODAY(),G138-TODAY()&lt;=3,G138-TODAY()&gt;1,G138&lt;&gt;0,$N138&lt;&gt;"Disponível")</formula>
    </cfRule>
    <cfRule type="expression" dxfId="38" priority="49">
      <formula>AND(G138&lt;=TODAY(),G138&lt;&gt;0,$N138&lt;&gt;"Disponível")</formula>
    </cfRule>
    <cfRule type="expression" dxfId="37" priority="52">
      <formula>AND(G138&gt;TODAY(),G138-TODAY()&lt;=10,G138-TODAY()&gt;3,G138&lt;&gt;0,$N138&lt;&gt;"Disponível")</formula>
    </cfRule>
    <cfRule type="expression" dxfId="36" priority="51">
      <formula>AND(G138&gt;TODAY(),G138-TODAY()&lt;=1,G138&lt;&gt;0,$N138&lt;&gt;"Disponível")</formula>
    </cfRule>
  </conditionalFormatting>
  <conditionalFormatting sqref="G141:G142">
    <cfRule type="expression" dxfId="35" priority="47">
      <formula>AND(G141&gt;TODAY(),G141-TODAY()&lt;=1,G141&lt;&gt;0,$N141&lt;&gt;"Disponível")</formula>
    </cfRule>
    <cfRule type="expression" dxfId="34" priority="48">
      <formula>AND(G141&gt;TODAY(),G141-TODAY()&lt;=10,G141-TODAY()&gt;3,G141&lt;&gt;0,$N141&lt;&gt;"Disponível")</formula>
    </cfRule>
    <cfRule type="expression" dxfId="33" priority="45">
      <formula>AND(G141&lt;=TODAY(),G141&lt;&gt;0,$N141&lt;&gt;"Disponível")</formula>
    </cfRule>
    <cfRule type="expression" dxfId="32" priority="46">
      <formula>AND(G141&gt;TODAY(),G141-TODAY()&lt;=3,G141-TODAY()&gt;1,G141&lt;&gt;0,$N141&lt;&gt;"Disponível")</formula>
    </cfRule>
  </conditionalFormatting>
  <conditionalFormatting sqref="G146:G148">
    <cfRule type="expression" dxfId="31" priority="41">
      <formula>AND(G146&lt;=TODAY(),G146&lt;&gt;0,$N146&lt;&gt;"Disponível")</formula>
    </cfRule>
    <cfRule type="expression" dxfId="30" priority="42">
      <formula>AND(G146&gt;TODAY(),G146-TODAY()&lt;=3,G146-TODAY()&gt;1,G146&lt;&gt;0,$N146&lt;&gt;"Disponível")</formula>
    </cfRule>
    <cfRule type="expression" dxfId="29" priority="43">
      <formula>AND(G146&gt;TODAY(),G146-TODAY()&lt;=1,G146&lt;&gt;0,$N146&lt;&gt;"Disponível")</formula>
    </cfRule>
    <cfRule type="expression" dxfId="28" priority="44">
      <formula>AND(G146&gt;TODAY(),G146-TODAY()&lt;=10,G146-TODAY()&gt;3,G146&lt;&gt;0,$N146&lt;&gt;"Disponível")</formula>
    </cfRule>
  </conditionalFormatting>
  <conditionalFormatting sqref="G151:G155 G164:G166">
    <cfRule type="expression" dxfId="27" priority="36">
      <formula>AND(G151&gt;TODAY(),G151-TODAY()&lt;=10,G151-TODAY()&gt;3,G151&lt;&gt;0,$N151&lt;&gt;"Disponível")</formula>
    </cfRule>
    <cfRule type="expression" dxfId="26" priority="33">
      <formula>AND(G151&lt;=TODAY(),G151&lt;&gt;0,$N151&lt;&gt;"Disponível")</formula>
    </cfRule>
    <cfRule type="expression" dxfId="25" priority="34">
      <formula>AND(G151&gt;TODAY(),G151-TODAY()&lt;=3,G151-TODAY()&gt;1,G151&lt;&gt;0,$N151&lt;&gt;"Disponível")</formula>
    </cfRule>
    <cfRule type="expression" dxfId="24" priority="35">
      <formula>AND(G151&gt;TODAY(),G151-TODAY()&lt;=1,G151&lt;&gt;0,$N151&lt;&gt;"Disponível")</formula>
    </cfRule>
  </conditionalFormatting>
  <conditionalFormatting sqref="G169:G171 G174:G175">
    <cfRule type="expression" dxfId="23" priority="31">
      <formula>AND(G169&gt;TODAY(),G169-TODAY()&lt;=1,G169&lt;&gt;0,$N169&lt;&gt;"Disponível")</formula>
    </cfRule>
    <cfRule type="expression" dxfId="22" priority="30">
      <formula>AND(G169&gt;TODAY(),G169-TODAY()&lt;=3,G169-TODAY()&gt;1,G169&lt;&gt;0,$N169&lt;&gt;"Disponível")</formula>
    </cfRule>
    <cfRule type="expression" dxfId="21" priority="29">
      <formula>AND(G169&lt;=TODAY(),G169&lt;&gt;0,$N169&lt;&gt;"Disponível")</formula>
    </cfRule>
    <cfRule type="expression" dxfId="20" priority="32">
      <formula>AND(G169&gt;TODAY(),G169-TODAY()&lt;=10,G169-TODAY()&gt;3,G169&lt;&gt;0,$N169&lt;&gt;"Disponível")</formula>
    </cfRule>
  </conditionalFormatting>
  <conditionalFormatting sqref="G2:H13 G30:H33 H34 G41:G43 H43 G45:G52 H51 G53:H53 H61:H69 H71:H72 H75 H82:H83 H86:H87 H94 H104 G105:H105">
    <cfRule type="expression" dxfId="19" priority="17">
      <formula>AND(G2&lt;=TODAY(),G2&lt;&gt;0,$N3&lt;&gt;"Disponível")</formula>
    </cfRule>
    <cfRule type="expression" dxfId="18" priority="20">
      <formula>AND(G2&gt;TODAY(),G2-TODAY()&lt;=10,G2-TODAY()&gt;3,G2&lt;&gt;0,$N3&lt;&gt;"Disponível")</formula>
    </cfRule>
    <cfRule type="expression" dxfId="17" priority="19">
      <formula>AND(G2&gt;TODAY(),G2-TODAY()&lt;=1,G2&lt;&gt;0,$N3&lt;&gt;"Disponível")</formula>
    </cfRule>
    <cfRule type="expression" dxfId="16" priority="18">
      <formula>AND(G2&gt;TODAY(),G2-TODAY()&lt;=3,G2-TODAY()&gt;1,G2&lt;&gt;0,$N3&lt;&gt;"Disponível")</formula>
    </cfRule>
  </conditionalFormatting>
  <conditionalFormatting sqref="G16:H16 G29:H29 G38:H38">
    <cfRule type="expression" dxfId="15" priority="59">
      <formula>AND(G16&lt;=TODAY(),G16&lt;&gt;0,#REF!&lt;&gt;"Disponível")</formula>
    </cfRule>
    <cfRule type="expression" dxfId="14" priority="60">
      <formula>AND(G16&gt;TODAY(),G16-TODAY()&lt;=3,G16-TODAY()&gt;1,G16&lt;&gt;0,#REF!&lt;&gt;"Disponível")</formula>
    </cfRule>
    <cfRule type="expression" dxfId="13" priority="61">
      <formula>AND(G16&gt;TODAY(),G16-TODAY()&lt;=1,G16&lt;&gt;0,#REF!&lt;&gt;"Disponível")</formula>
    </cfRule>
    <cfRule type="expression" dxfId="12" priority="62">
      <formula>AND(G16&gt;TODAY(),G16-TODAY()&lt;=10,G16-TODAY()&gt;3,G16&lt;&gt;0,#REF!&lt;&gt;"Disponível")</formula>
    </cfRule>
  </conditionalFormatting>
  <conditionalFormatting sqref="H14:H15 H35:H37 H40:H42 H44:H48 H52 H78:H79 H93 H95 H100:H103">
    <cfRule type="expression" dxfId="11" priority="13">
      <formula>AND(H14&gt;TODAY(),H14-TODAY()&lt;=1,H14&lt;&gt;0,$O14&lt;&gt;"Disponível",XEM14&lt;&gt;"Bug/Revisão",XEM14&lt;&gt;"Homologação CDP",XEM14&lt;&gt;"Despriorizado")</formula>
    </cfRule>
    <cfRule type="expression" dxfId="10" priority="14">
      <formula>AND(H14&gt;TODAY(),H14-TODAY()&lt;=3,H14-TODAY()&gt;1,H14&lt;&gt;0,$O14&lt;&gt;"Disponível",XEM14&lt;&gt;"Bug/Revisão",XEM14&lt;&gt;"Homologação CDP",XEM14&lt;&gt;"Despriorizado")</formula>
    </cfRule>
    <cfRule type="expression" dxfId="9" priority="15">
      <formula>AND(H14&lt;=TODAY(),H14&lt;&gt;0,$O14&lt;&gt;"Disponível",XEM14&lt;&gt;"Bug/Revisão",XEM14&lt;&gt;"Homologação CDP",XEM14&lt;&gt;"Despriorizado")</formula>
    </cfRule>
    <cfRule type="expression" dxfId="8" priority="16">
      <formula>AND(H14&gt;TODAY(),H14-TODAY()&lt;=10,H14-TODAY()&gt;3,H14&lt;&gt;0,$O14&lt;&gt;"Disponível",XEM14&lt;&gt;"Bug/Revisão",XEM14&lt;&gt;"Homologação CDP",XEM14&lt;&gt;"Despriorizado")</formula>
    </cfRule>
  </conditionalFormatting>
  <conditionalFormatting sqref="H109:H175">
    <cfRule type="expression" dxfId="7" priority="37">
      <formula>AND(H109&gt;TODAY(),H109-TODAY()&lt;=1,H109&lt;&gt;0,$O109&lt;&gt;"Disponível",XEM109&lt;&gt;"Bug/Revisão",XEM109&lt;&gt;"Homologação CDP",XEM109&lt;&gt;"Despriorizado")</formula>
    </cfRule>
    <cfRule type="expression" dxfId="6" priority="38">
      <formula>AND(H109&gt;TODAY(),H109-TODAY()&lt;=3,H109-TODAY()&gt;1,H109&lt;&gt;0,$O109&lt;&gt;"Disponível",XEM109&lt;&gt;"Bug/Revisão",XEM109&lt;&gt;"Homologação CDP",XEM109&lt;&gt;"Despriorizado")</formula>
    </cfRule>
    <cfRule type="expression" dxfId="5" priority="39">
      <formula>AND(H109&lt;=TODAY(),H109&lt;&gt;0,$O109&lt;&gt;"Disponível",XEM109&lt;&gt;"Bug/Revisão",XEM109&lt;&gt;"Homologação CDP",XEM109&lt;&gt;"Despriorizado")</formula>
    </cfRule>
    <cfRule type="expression" dxfId="4" priority="40">
      <formula>AND(H109&gt;TODAY(),H109-TODAY()&lt;=10,H109-TODAY()&gt;3,H109&lt;&gt;0,$O109&lt;&gt;"Disponível",XEM109&lt;&gt;"Bug/Revisão",XEM109&lt;&gt;"Homologação CDP",XEM109&lt;&gt;"Despriorizado")</formula>
    </cfRule>
  </conditionalFormatting>
  <conditionalFormatting sqref="I78">
    <cfRule type="expression" dxfId="3" priority="24">
      <formula>AND(I78&gt;TODAY(),I78-TODAY()&lt;=10,I78-TODAY()&gt;3,I78&lt;&gt;0,$N78&lt;&gt;"Disponível")</formula>
    </cfRule>
    <cfRule type="expression" dxfId="2" priority="23">
      <formula>AND(I78&gt;TODAY(),I78-TODAY()&lt;=1,I78&lt;&gt;0,$N78&lt;&gt;"Disponível")</formula>
    </cfRule>
    <cfRule type="expression" dxfId="1" priority="22">
      <formula>AND(I78&gt;TODAY(),I78-TODAY()&lt;=3,I78-TODAY()&gt;1,I78&lt;&gt;0,$N78&lt;&gt;"Disponível")</formula>
    </cfRule>
    <cfRule type="expression" dxfId="0" priority="21">
      <formula>AND(I78&lt;=TODAY(),I78&lt;&gt;0,$N78&lt;&gt;"Disponível")</formula>
    </cfRule>
  </conditionalFormatting>
  <dataValidations count="1">
    <dataValidation allowBlank="1" showInputMessage="1" showErrorMessage="1" sqref="B1:C1" xr:uid="{27A1C862-815B-454C-AC6C-6CFA92B324D2}"/>
  </dataValidation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8B8BD-7B86-4620-816A-7A9F60B28C1B}">
  <dimension ref="A1:B9"/>
  <sheetViews>
    <sheetView workbookViewId="0"/>
  </sheetViews>
  <sheetFormatPr defaultRowHeight="14.5" x14ac:dyDescent="0.35"/>
  <cols>
    <col min="1" max="1" width="50.54296875" bestFit="1" customWidth="1"/>
    <col min="2" max="2" width="34.26953125" bestFit="1" customWidth="1"/>
  </cols>
  <sheetData>
    <row r="1" spans="1:2" x14ac:dyDescent="0.35">
      <c r="A1" s="82" t="s">
        <v>2962</v>
      </c>
      <c r="B1" s="82" t="s">
        <v>2963</v>
      </c>
    </row>
    <row r="2" spans="1:2" x14ac:dyDescent="0.35">
      <c r="A2" s="3" t="s">
        <v>2964</v>
      </c>
      <c r="B2" s="3" t="s">
        <v>2965</v>
      </c>
    </row>
    <row r="3" spans="1:2" x14ac:dyDescent="0.35">
      <c r="A3" s="3" t="s">
        <v>2966</v>
      </c>
      <c r="B3" s="3" t="s">
        <v>2967</v>
      </c>
    </row>
    <row r="4" spans="1:2" x14ac:dyDescent="0.35">
      <c r="A4" s="3" t="s">
        <v>2968</v>
      </c>
      <c r="B4" s="3" t="s">
        <v>2969</v>
      </c>
    </row>
    <row r="5" spans="1:2" x14ac:dyDescent="0.35">
      <c r="A5" s="3" t="s">
        <v>2970</v>
      </c>
      <c r="B5" s="3" t="s">
        <v>2971</v>
      </c>
    </row>
    <row r="6" spans="1:2" x14ac:dyDescent="0.35">
      <c r="A6" s="3" t="s">
        <v>2972</v>
      </c>
      <c r="B6" s="3" t="s">
        <v>2973</v>
      </c>
    </row>
    <row r="7" spans="1:2" x14ac:dyDescent="0.35">
      <c r="A7" s="3" t="s">
        <v>2974</v>
      </c>
      <c r="B7" s="3" t="s">
        <v>2975</v>
      </c>
    </row>
    <row r="8" spans="1:2" x14ac:dyDescent="0.35">
      <c r="A8" s="3" t="s">
        <v>2976</v>
      </c>
      <c r="B8" s="3" t="s">
        <v>2977</v>
      </c>
    </row>
    <row r="9" spans="1:2" x14ac:dyDescent="0.35">
      <c r="A9" s="3" t="s">
        <v>2978</v>
      </c>
      <c r="B9" s="3" t="s">
        <v>2979</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935DF-1693-46E2-977A-077849527B47}">
  <sheetPr codeName="Sheet1"/>
  <dimension ref="A1:H65"/>
  <sheetViews>
    <sheetView showGridLines="0" topLeftCell="A39" zoomScale="70" zoomScaleNormal="70" workbookViewId="0">
      <selection activeCell="F25" sqref="F25"/>
    </sheetView>
  </sheetViews>
  <sheetFormatPr defaultRowHeight="14.5" x14ac:dyDescent="0.35"/>
  <cols>
    <col min="1" max="1" width="34.7265625" style="3" bestFit="1" customWidth="1"/>
    <col min="2" max="2" width="20.81640625" style="3" customWidth="1"/>
    <col min="3" max="3" width="12" style="3" customWidth="1"/>
    <col min="4" max="4" width="13.453125" style="3" bestFit="1" customWidth="1"/>
    <col min="5" max="5" width="34.453125" style="3" bestFit="1" customWidth="1"/>
    <col min="6" max="6" width="56.453125" style="3" bestFit="1" customWidth="1"/>
    <col min="7" max="7" width="11.453125" style="3" bestFit="1" customWidth="1"/>
    <col min="8" max="8" width="59.26953125" style="3" bestFit="1" customWidth="1"/>
  </cols>
  <sheetData>
    <row r="1" spans="1:8" ht="16" x14ac:dyDescent="0.35">
      <c r="A1" s="1" t="s">
        <v>2</v>
      </c>
      <c r="B1" s="1" t="s">
        <v>4</v>
      </c>
      <c r="C1" s="22" t="s">
        <v>6</v>
      </c>
      <c r="D1" s="22" t="s">
        <v>8</v>
      </c>
      <c r="E1" s="22" t="s">
        <v>2980</v>
      </c>
      <c r="F1" s="22" t="s">
        <v>2981</v>
      </c>
      <c r="G1" s="22" t="s">
        <v>2982</v>
      </c>
      <c r="H1" s="22" t="s">
        <v>2983</v>
      </c>
    </row>
    <row r="2" spans="1:8" x14ac:dyDescent="0.35">
      <c r="A2" s="3" t="s">
        <v>2984</v>
      </c>
      <c r="B2" s="3" t="s">
        <v>2985</v>
      </c>
      <c r="C2" s="3" t="s">
        <v>2985</v>
      </c>
      <c r="D2" s="3" t="s">
        <v>2986</v>
      </c>
      <c r="E2" s="3" t="s">
        <v>2987</v>
      </c>
      <c r="F2" s="3" t="s">
        <v>2988</v>
      </c>
      <c r="G2" s="3" t="s">
        <v>2989</v>
      </c>
      <c r="H2" s="3" t="s">
        <v>2990</v>
      </c>
    </row>
    <row r="3" spans="1:8" x14ac:dyDescent="0.35">
      <c r="A3" s="3" t="s">
        <v>2984</v>
      </c>
      <c r="B3" s="3" t="s">
        <v>2985</v>
      </c>
      <c r="C3" s="3" t="s">
        <v>2985</v>
      </c>
      <c r="D3" s="3" t="s">
        <v>2986</v>
      </c>
      <c r="E3" s="3" t="s">
        <v>2991</v>
      </c>
      <c r="F3" s="3" t="s">
        <v>2992</v>
      </c>
      <c r="G3" s="3" t="s">
        <v>2989</v>
      </c>
      <c r="H3" s="3" t="s">
        <v>2993</v>
      </c>
    </row>
    <row r="4" spans="1:8" x14ac:dyDescent="0.35">
      <c r="A4" s="3" t="s">
        <v>2984</v>
      </c>
      <c r="B4" s="3" t="s">
        <v>2985</v>
      </c>
      <c r="C4" s="3" t="s">
        <v>2985</v>
      </c>
      <c r="D4" s="3" t="s">
        <v>2986</v>
      </c>
      <c r="E4" s="3" t="s">
        <v>2994</v>
      </c>
      <c r="F4" s="3" t="s">
        <v>2995</v>
      </c>
      <c r="G4" s="3" t="s">
        <v>2989</v>
      </c>
      <c r="H4" s="3" t="s">
        <v>2996</v>
      </c>
    </row>
    <row r="5" spans="1:8" x14ac:dyDescent="0.35">
      <c r="A5" s="3" t="s">
        <v>2984</v>
      </c>
      <c r="B5" s="3" t="s">
        <v>2985</v>
      </c>
      <c r="C5" s="3" t="s">
        <v>2985</v>
      </c>
      <c r="D5" s="3" t="s">
        <v>2986</v>
      </c>
      <c r="E5" s="3" t="s">
        <v>2997</v>
      </c>
      <c r="F5" s="3" t="s">
        <v>2998</v>
      </c>
      <c r="G5" s="3" t="s">
        <v>2989</v>
      </c>
      <c r="H5" s="3" t="s">
        <v>2999</v>
      </c>
    </row>
    <row r="6" spans="1:8" x14ac:dyDescent="0.35">
      <c r="A6" s="3" t="s">
        <v>2984</v>
      </c>
      <c r="B6" s="3" t="s">
        <v>2985</v>
      </c>
      <c r="C6" s="3" t="s">
        <v>2985</v>
      </c>
      <c r="D6" s="3" t="s">
        <v>2986</v>
      </c>
      <c r="E6" s="3" t="s">
        <v>3000</v>
      </c>
      <c r="F6" s="3" t="s">
        <v>3001</v>
      </c>
      <c r="G6" s="3" t="s">
        <v>2989</v>
      </c>
      <c r="H6" s="3" t="s">
        <v>3002</v>
      </c>
    </row>
    <row r="7" spans="1:8" x14ac:dyDescent="0.35">
      <c r="A7" s="3" t="s">
        <v>2984</v>
      </c>
      <c r="B7" s="3" t="s">
        <v>2985</v>
      </c>
      <c r="C7" s="3" t="s">
        <v>2985</v>
      </c>
      <c r="D7" s="3" t="s">
        <v>2986</v>
      </c>
      <c r="E7" s="3" t="s">
        <v>3003</v>
      </c>
      <c r="F7" s="3" t="s">
        <v>3004</v>
      </c>
      <c r="G7" s="3" t="s">
        <v>2989</v>
      </c>
      <c r="H7" s="3" t="s">
        <v>3005</v>
      </c>
    </row>
    <row r="8" spans="1:8" x14ac:dyDescent="0.35">
      <c r="A8" s="3" t="s">
        <v>2984</v>
      </c>
      <c r="B8" s="3" t="s">
        <v>2985</v>
      </c>
      <c r="C8" s="3" t="s">
        <v>2985</v>
      </c>
      <c r="D8" s="3" t="s">
        <v>2986</v>
      </c>
      <c r="E8" s="3" t="s">
        <v>3006</v>
      </c>
      <c r="F8" s="3" t="s">
        <v>3007</v>
      </c>
      <c r="G8" s="3" t="s">
        <v>2989</v>
      </c>
      <c r="H8" s="3" t="s">
        <v>3008</v>
      </c>
    </row>
    <row r="9" spans="1:8" x14ac:dyDescent="0.35">
      <c r="A9" s="3" t="s">
        <v>2984</v>
      </c>
      <c r="B9" s="3" t="s">
        <v>2985</v>
      </c>
      <c r="C9" s="3" t="s">
        <v>2985</v>
      </c>
      <c r="D9" s="3" t="s">
        <v>2986</v>
      </c>
      <c r="E9" s="3" t="s">
        <v>3009</v>
      </c>
      <c r="F9" s="3" t="s">
        <v>3010</v>
      </c>
      <c r="G9" s="3" t="s">
        <v>2989</v>
      </c>
      <c r="H9" s="3" t="s">
        <v>3011</v>
      </c>
    </row>
    <row r="10" spans="1:8" x14ac:dyDescent="0.35">
      <c r="A10" s="3" t="s">
        <v>2984</v>
      </c>
      <c r="B10" s="3" t="s">
        <v>2985</v>
      </c>
      <c r="C10" s="3" t="s">
        <v>2985</v>
      </c>
      <c r="D10" s="3" t="s">
        <v>2986</v>
      </c>
      <c r="E10" s="3" t="s">
        <v>3012</v>
      </c>
      <c r="F10" s="3" t="s">
        <v>3013</v>
      </c>
      <c r="G10" s="3" t="s">
        <v>2989</v>
      </c>
      <c r="H10" s="3" t="s">
        <v>3014</v>
      </c>
    </row>
    <row r="11" spans="1:8" x14ac:dyDescent="0.35">
      <c r="A11" s="3" t="s">
        <v>2984</v>
      </c>
      <c r="B11" s="3" t="s">
        <v>2985</v>
      </c>
      <c r="C11" s="3" t="s">
        <v>2985</v>
      </c>
      <c r="D11" s="3" t="s">
        <v>2986</v>
      </c>
      <c r="E11" s="3" t="s">
        <v>3015</v>
      </c>
      <c r="F11" s="3" t="s">
        <v>3016</v>
      </c>
      <c r="G11" s="3" t="s">
        <v>2989</v>
      </c>
      <c r="H11" s="3" t="s">
        <v>3017</v>
      </c>
    </row>
    <row r="12" spans="1:8" x14ac:dyDescent="0.35">
      <c r="A12" s="3" t="s">
        <v>2984</v>
      </c>
      <c r="B12" s="3" t="s">
        <v>2985</v>
      </c>
      <c r="C12" s="3" t="s">
        <v>2985</v>
      </c>
      <c r="D12" s="3" t="s">
        <v>2986</v>
      </c>
      <c r="E12" s="3" t="s">
        <v>3018</v>
      </c>
      <c r="F12" s="3" t="s">
        <v>3019</v>
      </c>
      <c r="G12" s="3" t="s">
        <v>2989</v>
      </c>
      <c r="H12" s="3" t="s">
        <v>3020</v>
      </c>
    </row>
    <row r="13" spans="1:8" x14ac:dyDescent="0.35">
      <c r="A13" s="3" t="s">
        <v>2984</v>
      </c>
      <c r="B13" s="3" t="s">
        <v>2985</v>
      </c>
      <c r="C13" s="3" t="s">
        <v>2985</v>
      </c>
      <c r="D13" s="3" t="s">
        <v>2986</v>
      </c>
      <c r="E13" s="3" t="s">
        <v>3021</v>
      </c>
      <c r="F13" s="3" t="s">
        <v>3022</v>
      </c>
      <c r="G13" s="3" t="s">
        <v>2989</v>
      </c>
      <c r="H13" s="3" t="s">
        <v>3023</v>
      </c>
    </row>
    <row r="14" spans="1:8" x14ac:dyDescent="0.35">
      <c r="A14" s="3" t="s">
        <v>2984</v>
      </c>
      <c r="B14" s="3" t="s">
        <v>2985</v>
      </c>
      <c r="C14" s="3" t="s">
        <v>2985</v>
      </c>
      <c r="D14" s="3" t="s">
        <v>2986</v>
      </c>
      <c r="E14" s="3" t="s">
        <v>3024</v>
      </c>
      <c r="F14" s="3" t="s">
        <v>3025</v>
      </c>
      <c r="G14" s="3" t="s">
        <v>2989</v>
      </c>
      <c r="H14" s="3" t="s">
        <v>3026</v>
      </c>
    </row>
    <row r="15" spans="1:8" x14ac:dyDescent="0.35">
      <c r="A15" s="3" t="s">
        <v>2984</v>
      </c>
      <c r="B15" s="3" t="s">
        <v>2985</v>
      </c>
      <c r="C15" s="3" t="s">
        <v>2985</v>
      </c>
      <c r="D15" s="3" t="s">
        <v>2986</v>
      </c>
      <c r="E15" s="3" t="s">
        <v>3027</v>
      </c>
      <c r="F15" s="3" t="s">
        <v>3028</v>
      </c>
      <c r="G15" s="3" t="s">
        <v>2989</v>
      </c>
      <c r="H15" s="3" t="s">
        <v>3029</v>
      </c>
    </row>
    <row r="16" spans="1:8" x14ac:dyDescent="0.35">
      <c r="A16" s="3" t="s">
        <v>2984</v>
      </c>
      <c r="B16" s="3" t="s">
        <v>2985</v>
      </c>
      <c r="C16" s="3" t="s">
        <v>2985</v>
      </c>
      <c r="D16" s="3" t="s">
        <v>2986</v>
      </c>
      <c r="E16" s="3" t="s">
        <v>3030</v>
      </c>
      <c r="F16" s="3" t="s">
        <v>3031</v>
      </c>
      <c r="G16" s="3" t="s">
        <v>2989</v>
      </c>
      <c r="H16" s="3" t="s">
        <v>3032</v>
      </c>
    </row>
    <row r="17" spans="1:8" x14ac:dyDescent="0.35">
      <c r="A17" s="3" t="s">
        <v>2984</v>
      </c>
      <c r="B17" s="3" t="s">
        <v>2985</v>
      </c>
      <c r="C17" s="3" t="s">
        <v>2985</v>
      </c>
      <c r="D17" s="3" t="s">
        <v>2986</v>
      </c>
      <c r="E17" s="3" t="s">
        <v>2973</v>
      </c>
      <c r="F17" s="3" t="s">
        <v>3033</v>
      </c>
      <c r="G17" s="3" t="s">
        <v>2989</v>
      </c>
      <c r="H17" s="3" t="s">
        <v>3014</v>
      </c>
    </row>
    <row r="18" spans="1:8" x14ac:dyDescent="0.35">
      <c r="A18" s="3" t="s">
        <v>2984</v>
      </c>
      <c r="B18" s="3" t="s">
        <v>2985</v>
      </c>
      <c r="C18" s="3" t="s">
        <v>2985</v>
      </c>
      <c r="D18" s="3" t="s">
        <v>2986</v>
      </c>
      <c r="E18" s="3" t="s">
        <v>3034</v>
      </c>
      <c r="F18" s="3" t="s">
        <v>3035</v>
      </c>
      <c r="G18" s="3" t="s">
        <v>2989</v>
      </c>
      <c r="H18" s="3" t="s">
        <v>3036</v>
      </c>
    </row>
    <row r="19" spans="1:8" x14ac:dyDescent="0.35">
      <c r="A19" s="3" t="s">
        <v>2984</v>
      </c>
      <c r="B19" s="3" t="s">
        <v>2985</v>
      </c>
      <c r="C19" s="3" t="s">
        <v>2985</v>
      </c>
      <c r="D19" s="3" t="s">
        <v>2986</v>
      </c>
      <c r="E19" s="3" t="s">
        <v>3037</v>
      </c>
      <c r="F19" s="3" t="s">
        <v>3038</v>
      </c>
      <c r="G19" s="3" t="s">
        <v>2989</v>
      </c>
      <c r="H19" s="3" t="s">
        <v>3036</v>
      </c>
    </row>
    <row r="20" spans="1:8" x14ac:dyDescent="0.35">
      <c r="A20" s="3" t="s">
        <v>2984</v>
      </c>
      <c r="B20" s="3" t="s">
        <v>2985</v>
      </c>
      <c r="C20" s="3" t="s">
        <v>2985</v>
      </c>
      <c r="D20" s="3" t="s">
        <v>2986</v>
      </c>
      <c r="E20" s="3" t="s">
        <v>3039</v>
      </c>
      <c r="F20" s="3" t="s">
        <v>3040</v>
      </c>
      <c r="G20" s="3" t="s">
        <v>2989</v>
      </c>
      <c r="H20" s="3" t="s">
        <v>3041</v>
      </c>
    </row>
    <row r="21" spans="1:8" x14ac:dyDescent="0.35">
      <c r="A21" s="3" t="s">
        <v>2984</v>
      </c>
      <c r="B21" s="3" t="s">
        <v>2985</v>
      </c>
      <c r="C21" s="3" t="s">
        <v>2985</v>
      </c>
      <c r="D21" s="3" t="s">
        <v>2986</v>
      </c>
      <c r="E21" s="3" t="s">
        <v>2967</v>
      </c>
      <c r="F21" s="3" t="s">
        <v>3042</v>
      </c>
      <c r="G21" s="3" t="s">
        <v>2989</v>
      </c>
      <c r="H21" s="3" t="s">
        <v>3043</v>
      </c>
    </row>
    <row r="22" spans="1:8" x14ac:dyDescent="0.35">
      <c r="A22" s="3" t="s">
        <v>2984</v>
      </c>
      <c r="B22" s="3" t="s">
        <v>2985</v>
      </c>
      <c r="C22" s="3" t="s">
        <v>2985</v>
      </c>
      <c r="D22" s="3" t="s">
        <v>2986</v>
      </c>
      <c r="E22" s="3" t="s">
        <v>2971</v>
      </c>
      <c r="F22" s="3" t="s">
        <v>3044</v>
      </c>
      <c r="G22" s="3" t="s">
        <v>2989</v>
      </c>
      <c r="H22" s="3" t="s">
        <v>3045</v>
      </c>
    </row>
    <row r="23" spans="1:8" x14ac:dyDescent="0.35">
      <c r="A23" s="3" t="s">
        <v>2984</v>
      </c>
      <c r="B23" s="3" t="s">
        <v>2985</v>
      </c>
      <c r="C23" s="3" t="s">
        <v>2985</v>
      </c>
      <c r="D23" s="3" t="s">
        <v>2986</v>
      </c>
      <c r="E23" s="3" t="s">
        <v>3046</v>
      </c>
      <c r="F23" s="3" t="s">
        <v>3047</v>
      </c>
      <c r="G23" s="3" t="s">
        <v>2989</v>
      </c>
      <c r="H23" s="3" t="s">
        <v>3048</v>
      </c>
    </row>
    <row r="24" spans="1:8" x14ac:dyDescent="0.35">
      <c r="A24" s="3" t="s">
        <v>2984</v>
      </c>
      <c r="B24" s="3" t="s">
        <v>2985</v>
      </c>
      <c r="C24" s="3" t="s">
        <v>2985</v>
      </c>
      <c r="D24" s="3" t="s">
        <v>2986</v>
      </c>
      <c r="E24" s="3" t="s">
        <v>3049</v>
      </c>
      <c r="F24" s="3" t="s">
        <v>3050</v>
      </c>
      <c r="G24" s="3" t="s">
        <v>2989</v>
      </c>
      <c r="H24" s="3" t="s">
        <v>3051</v>
      </c>
    </row>
    <row r="25" spans="1:8" x14ac:dyDescent="0.35">
      <c r="A25" s="3" t="s">
        <v>2984</v>
      </c>
      <c r="B25" s="3" t="s">
        <v>2985</v>
      </c>
      <c r="C25" s="3" t="s">
        <v>2985</v>
      </c>
      <c r="D25" s="3" t="s">
        <v>2986</v>
      </c>
      <c r="E25" s="3" t="s">
        <v>3052</v>
      </c>
      <c r="F25" s="3" t="s">
        <v>3053</v>
      </c>
      <c r="G25" s="3" t="s">
        <v>2989</v>
      </c>
      <c r="H25" s="3" t="s">
        <v>3054</v>
      </c>
    </row>
    <row r="26" spans="1:8" x14ac:dyDescent="0.35">
      <c r="A26" s="3" t="s">
        <v>2984</v>
      </c>
      <c r="B26" s="3" t="s">
        <v>2985</v>
      </c>
      <c r="C26" s="3" t="s">
        <v>2985</v>
      </c>
      <c r="D26" s="3" t="s">
        <v>2986</v>
      </c>
      <c r="E26" s="3" t="s">
        <v>2975</v>
      </c>
      <c r="F26" s="3" t="s">
        <v>3055</v>
      </c>
      <c r="G26" s="3" t="s">
        <v>2989</v>
      </c>
      <c r="H26" s="3" t="s">
        <v>3056</v>
      </c>
    </row>
    <row r="27" spans="1:8" x14ac:dyDescent="0.35">
      <c r="A27" s="3" t="s">
        <v>2984</v>
      </c>
      <c r="B27" s="3" t="s">
        <v>2985</v>
      </c>
      <c r="C27" s="3" t="s">
        <v>2985</v>
      </c>
      <c r="D27" s="3" t="s">
        <v>2986</v>
      </c>
      <c r="E27" s="3" t="s">
        <v>3057</v>
      </c>
      <c r="F27" s="3" t="s">
        <v>3058</v>
      </c>
      <c r="G27" s="3" t="s">
        <v>2989</v>
      </c>
      <c r="H27" s="3" t="s">
        <v>3043</v>
      </c>
    </row>
    <row r="28" spans="1:8" x14ac:dyDescent="0.35">
      <c r="A28" s="3" t="s">
        <v>2984</v>
      </c>
      <c r="B28" s="3" t="s">
        <v>2985</v>
      </c>
      <c r="C28" s="3" t="s">
        <v>2985</v>
      </c>
      <c r="D28" s="3" t="s">
        <v>2986</v>
      </c>
      <c r="E28" s="3" t="s">
        <v>3059</v>
      </c>
      <c r="F28" s="3" t="s">
        <v>3060</v>
      </c>
      <c r="G28" s="3" t="s">
        <v>2989</v>
      </c>
      <c r="H28" s="3" t="s">
        <v>3061</v>
      </c>
    </row>
    <row r="29" spans="1:8" x14ac:dyDescent="0.35">
      <c r="A29" s="3" t="s">
        <v>2984</v>
      </c>
      <c r="B29" s="3" t="s">
        <v>2985</v>
      </c>
      <c r="C29" s="3" t="s">
        <v>2985</v>
      </c>
      <c r="D29" s="3" t="s">
        <v>2986</v>
      </c>
      <c r="E29" s="3" t="s">
        <v>2965</v>
      </c>
      <c r="F29" s="3" t="s">
        <v>3062</v>
      </c>
      <c r="G29" s="3" t="s">
        <v>2989</v>
      </c>
      <c r="H29" s="3" t="s">
        <v>3063</v>
      </c>
    </row>
    <row r="30" spans="1:8" x14ac:dyDescent="0.35">
      <c r="A30" s="3" t="s">
        <v>2984</v>
      </c>
      <c r="B30" s="3" t="s">
        <v>2985</v>
      </c>
      <c r="C30" s="3" t="s">
        <v>2985</v>
      </c>
      <c r="D30" s="3" t="s">
        <v>2986</v>
      </c>
      <c r="E30" s="3" t="s">
        <v>3064</v>
      </c>
      <c r="F30" s="3" t="s">
        <v>3065</v>
      </c>
      <c r="G30" s="3" t="s">
        <v>2989</v>
      </c>
      <c r="H30" s="3" t="s">
        <v>3066</v>
      </c>
    </row>
    <row r="31" spans="1:8" x14ac:dyDescent="0.35">
      <c r="A31" s="3" t="s">
        <v>2984</v>
      </c>
      <c r="B31" s="3" t="s">
        <v>2985</v>
      </c>
      <c r="C31" s="3" t="s">
        <v>2985</v>
      </c>
      <c r="D31" s="3" t="s">
        <v>2986</v>
      </c>
      <c r="E31" s="3" t="s">
        <v>3067</v>
      </c>
      <c r="F31" s="3" t="s">
        <v>3068</v>
      </c>
      <c r="G31" s="3" t="s">
        <v>2989</v>
      </c>
      <c r="H31" s="3" t="s">
        <v>3069</v>
      </c>
    </row>
    <row r="32" spans="1:8" x14ac:dyDescent="0.35">
      <c r="A32" s="3" t="s">
        <v>2984</v>
      </c>
      <c r="B32" s="3" t="s">
        <v>2985</v>
      </c>
      <c r="C32" s="3" t="s">
        <v>2985</v>
      </c>
      <c r="D32" s="3" t="s">
        <v>2986</v>
      </c>
      <c r="E32" s="3" t="s">
        <v>3070</v>
      </c>
      <c r="F32" s="3" t="s">
        <v>3071</v>
      </c>
      <c r="G32" s="3" t="s">
        <v>2989</v>
      </c>
      <c r="H32" s="3" t="s">
        <v>3072</v>
      </c>
    </row>
    <row r="33" spans="1:8" x14ac:dyDescent="0.35">
      <c r="A33" s="3" t="s">
        <v>2984</v>
      </c>
      <c r="B33" s="3" t="s">
        <v>2985</v>
      </c>
      <c r="C33" s="3" t="s">
        <v>2985</v>
      </c>
      <c r="D33" s="3" t="s">
        <v>2986</v>
      </c>
      <c r="E33" s="3" t="s">
        <v>3073</v>
      </c>
      <c r="F33" s="3" t="s">
        <v>3074</v>
      </c>
      <c r="G33" s="3" t="s">
        <v>2989</v>
      </c>
      <c r="H33" s="3" t="s">
        <v>3075</v>
      </c>
    </row>
    <row r="34" spans="1:8" x14ac:dyDescent="0.35">
      <c r="A34" s="3" t="s">
        <v>2984</v>
      </c>
      <c r="B34" s="3" t="s">
        <v>2985</v>
      </c>
      <c r="C34" s="3" t="s">
        <v>2985</v>
      </c>
      <c r="D34" s="3" t="s">
        <v>2986</v>
      </c>
      <c r="E34" s="3" t="s">
        <v>3076</v>
      </c>
      <c r="F34" s="3" t="s">
        <v>3077</v>
      </c>
      <c r="G34" s="3" t="s">
        <v>2989</v>
      </c>
      <c r="H34" s="3" t="s">
        <v>3078</v>
      </c>
    </row>
    <row r="35" spans="1:8" x14ac:dyDescent="0.35">
      <c r="A35" s="3" t="s">
        <v>2984</v>
      </c>
      <c r="B35" s="3" t="s">
        <v>2985</v>
      </c>
      <c r="C35" s="3" t="s">
        <v>2985</v>
      </c>
      <c r="D35" s="3" t="s">
        <v>2986</v>
      </c>
      <c r="E35" s="3" t="s">
        <v>3079</v>
      </c>
      <c r="F35" s="3" t="s">
        <v>3080</v>
      </c>
      <c r="G35" s="3" t="s">
        <v>2989</v>
      </c>
      <c r="H35" s="3" t="s">
        <v>3081</v>
      </c>
    </row>
    <row r="36" spans="1:8" x14ac:dyDescent="0.35">
      <c r="A36" s="3" t="s">
        <v>2984</v>
      </c>
      <c r="B36" s="3" t="s">
        <v>2985</v>
      </c>
      <c r="C36" s="3" t="s">
        <v>2985</v>
      </c>
      <c r="D36" s="3" t="s">
        <v>2986</v>
      </c>
      <c r="E36" s="3" t="s">
        <v>3082</v>
      </c>
      <c r="F36" s="3" t="s">
        <v>3083</v>
      </c>
      <c r="G36" s="3" t="s">
        <v>2989</v>
      </c>
      <c r="H36" s="3" t="s">
        <v>3084</v>
      </c>
    </row>
    <row r="37" spans="1:8" x14ac:dyDescent="0.35">
      <c r="A37" s="3" t="s">
        <v>2984</v>
      </c>
      <c r="B37" s="3" t="s">
        <v>2985</v>
      </c>
      <c r="C37" s="3" t="s">
        <v>2985</v>
      </c>
      <c r="D37" s="3" t="s">
        <v>2986</v>
      </c>
      <c r="E37" s="3" t="s">
        <v>3085</v>
      </c>
      <c r="F37" s="3" t="s">
        <v>3086</v>
      </c>
      <c r="G37" s="3" t="s">
        <v>2989</v>
      </c>
      <c r="H37" s="3" t="s">
        <v>3087</v>
      </c>
    </row>
    <row r="38" spans="1:8" x14ac:dyDescent="0.35">
      <c r="A38" s="3" t="s">
        <v>2984</v>
      </c>
      <c r="B38" s="3" t="s">
        <v>2985</v>
      </c>
      <c r="C38" s="3" t="s">
        <v>2985</v>
      </c>
      <c r="D38" s="3" t="s">
        <v>2986</v>
      </c>
      <c r="E38" s="3" t="s">
        <v>3088</v>
      </c>
      <c r="F38" s="3" t="s">
        <v>3089</v>
      </c>
      <c r="G38" s="3" t="s">
        <v>2989</v>
      </c>
      <c r="H38" s="3" t="s">
        <v>3090</v>
      </c>
    </row>
    <row r="39" spans="1:8" x14ac:dyDescent="0.35">
      <c r="A39" s="3" t="s">
        <v>2984</v>
      </c>
      <c r="B39" s="3" t="s">
        <v>2985</v>
      </c>
      <c r="C39" s="3" t="s">
        <v>2985</v>
      </c>
      <c r="D39" s="3" t="s">
        <v>2986</v>
      </c>
      <c r="E39" s="3" t="s">
        <v>3091</v>
      </c>
      <c r="F39" s="3" t="s">
        <v>3092</v>
      </c>
      <c r="G39" s="3" t="s">
        <v>2989</v>
      </c>
      <c r="H39" s="3" t="s">
        <v>3093</v>
      </c>
    </row>
    <row r="40" spans="1:8" x14ac:dyDescent="0.35">
      <c r="A40" s="3" t="s">
        <v>2984</v>
      </c>
      <c r="B40" s="3" t="s">
        <v>2985</v>
      </c>
      <c r="C40" s="3" t="s">
        <v>2985</v>
      </c>
      <c r="D40" s="3" t="s">
        <v>2986</v>
      </c>
      <c r="E40" s="3" t="s">
        <v>3094</v>
      </c>
      <c r="F40" s="3" t="s">
        <v>3095</v>
      </c>
      <c r="G40" s="3" t="s">
        <v>2989</v>
      </c>
      <c r="H40" s="3" t="s">
        <v>3096</v>
      </c>
    </row>
    <row r="41" spans="1:8" x14ac:dyDescent="0.35">
      <c r="A41" s="3" t="s">
        <v>2984</v>
      </c>
      <c r="B41" s="3" t="s">
        <v>2985</v>
      </c>
      <c r="C41" s="3" t="s">
        <v>2985</v>
      </c>
      <c r="D41" s="3" t="s">
        <v>2986</v>
      </c>
      <c r="E41" s="3" t="s">
        <v>3097</v>
      </c>
      <c r="F41" s="3" t="s">
        <v>3098</v>
      </c>
      <c r="G41" s="3" t="s">
        <v>2989</v>
      </c>
      <c r="H41" s="3" t="s">
        <v>3099</v>
      </c>
    </row>
    <row r="42" spans="1:8" x14ac:dyDescent="0.35">
      <c r="A42" s="3" t="s">
        <v>2984</v>
      </c>
      <c r="B42" s="3" t="s">
        <v>2985</v>
      </c>
      <c r="C42" s="3" t="s">
        <v>2985</v>
      </c>
      <c r="D42" s="3" t="s">
        <v>2986</v>
      </c>
      <c r="E42" s="3" t="s">
        <v>3100</v>
      </c>
      <c r="F42" s="3" t="s">
        <v>3101</v>
      </c>
      <c r="G42" s="3" t="s">
        <v>2989</v>
      </c>
      <c r="H42" s="3" t="s">
        <v>3102</v>
      </c>
    </row>
    <row r="43" spans="1:8" x14ac:dyDescent="0.35">
      <c r="A43" s="3" t="s">
        <v>2984</v>
      </c>
      <c r="B43" s="3" t="s">
        <v>2985</v>
      </c>
      <c r="C43" s="3" t="s">
        <v>2985</v>
      </c>
      <c r="D43" s="3" t="s">
        <v>2986</v>
      </c>
      <c r="E43" s="3" t="s">
        <v>3103</v>
      </c>
      <c r="F43" s="3" t="s">
        <v>3104</v>
      </c>
      <c r="G43" s="3" t="s">
        <v>2989</v>
      </c>
      <c r="H43" s="3" t="s">
        <v>3105</v>
      </c>
    </row>
    <row r="44" spans="1:8" x14ac:dyDescent="0.35">
      <c r="A44" s="3" t="s">
        <v>2984</v>
      </c>
      <c r="B44" s="3" t="s">
        <v>2985</v>
      </c>
      <c r="C44" s="3" t="s">
        <v>2985</v>
      </c>
      <c r="D44" s="3" t="s">
        <v>2986</v>
      </c>
      <c r="E44" s="3" t="s">
        <v>3106</v>
      </c>
      <c r="F44" s="3" t="s">
        <v>3107</v>
      </c>
      <c r="G44" s="3" t="s">
        <v>2989</v>
      </c>
      <c r="H44" s="3" t="s">
        <v>3108</v>
      </c>
    </row>
    <row r="45" spans="1:8" x14ac:dyDescent="0.35">
      <c r="A45" s="3" t="s">
        <v>2984</v>
      </c>
      <c r="B45" s="3" t="s">
        <v>2985</v>
      </c>
      <c r="C45" s="3" t="s">
        <v>2985</v>
      </c>
      <c r="D45" s="3" t="s">
        <v>2986</v>
      </c>
      <c r="E45" s="3" t="s">
        <v>3109</v>
      </c>
      <c r="F45" s="3" t="s">
        <v>3110</v>
      </c>
      <c r="G45" s="3" t="s">
        <v>2989</v>
      </c>
      <c r="H45" s="3" t="s">
        <v>3111</v>
      </c>
    </row>
    <row r="46" spans="1:8" x14ac:dyDescent="0.35">
      <c r="A46" s="3" t="s">
        <v>2984</v>
      </c>
      <c r="B46" s="3" t="s">
        <v>2985</v>
      </c>
      <c r="C46" s="3" t="s">
        <v>2985</v>
      </c>
      <c r="D46" s="3" t="s">
        <v>2986</v>
      </c>
      <c r="E46" s="3" t="s">
        <v>3112</v>
      </c>
      <c r="F46" s="3" t="s">
        <v>3113</v>
      </c>
      <c r="G46" s="3" t="s">
        <v>2989</v>
      </c>
      <c r="H46" s="3" t="s">
        <v>3114</v>
      </c>
    </row>
    <row r="47" spans="1:8" x14ac:dyDescent="0.35">
      <c r="A47" s="3" t="s">
        <v>2984</v>
      </c>
      <c r="B47" s="3" t="s">
        <v>2985</v>
      </c>
      <c r="C47" s="3" t="s">
        <v>2985</v>
      </c>
      <c r="D47" s="3" t="s">
        <v>2986</v>
      </c>
      <c r="E47" s="3" t="s">
        <v>3115</v>
      </c>
      <c r="F47" s="3" t="s">
        <v>3115</v>
      </c>
      <c r="G47" s="3" t="s">
        <v>2989</v>
      </c>
      <c r="H47" s="3" t="s">
        <v>3116</v>
      </c>
    </row>
    <row r="48" spans="1:8" x14ac:dyDescent="0.35">
      <c r="A48" s="3" t="s">
        <v>2984</v>
      </c>
      <c r="B48" s="3" t="s">
        <v>2985</v>
      </c>
      <c r="C48" s="3" t="s">
        <v>2985</v>
      </c>
      <c r="D48" s="3" t="s">
        <v>2986</v>
      </c>
      <c r="E48" s="3" t="s">
        <v>3117</v>
      </c>
      <c r="F48" s="3" t="s">
        <v>3118</v>
      </c>
      <c r="G48" s="3" t="s">
        <v>2989</v>
      </c>
      <c r="H48" s="3" t="s">
        <v>3119</v>
      </c>
    </row>
    <row r="49" spans="1:8" x14ac:dyDescent="0.35">
      <c r="A49" s="3" t="s">
        <v>2984</v>
      </c>
      <c r="B49" s="3" t="s">
        <v>2985</v>
      </c>
      <c r="C49" s="3" t="s">
        <v>2985</v>
      </c>
      <c r="D49" s="3" t="s">
        <v>2986</v>
      </c>
      <c r="E49" s="3" t="s">
        <v>3120</v>
      </c>
      <c r="F49" s="3" t="s">
        <v>3121</v>
      </c>
      <c r="G49" s="3" t="s">
        <v>2989</v>
      </c>
      <c r="H49" s="3" t="s">
        <v>3122</v>
      </c>
    </row>
    <row r="50" spans="1:8" x14ac:dyDescent="0.35">
      <c r="A50" s="3" t="s">
        <v>2984</v>
      </c>
      <c r="B50" s="3" t="s">
        <v>2985</v>
      </c>
      <c r="C50" s="3" t="s">
        <v>2985</v>
      </c>
      <c r="D50" s="3" t="s">
        <v>2986</v>
      </c>
      <c r="E50" s="3" t="s">
        <v>3123</v>
      </c>
      <c r="F50" s="3" t="s">
        <v>3124</v>
      </c>
      <c r="G50" s="3" t="s">
        <v>2989</v>
      </c>
      <c r="H50" s="3" t="s">
        <v>3125</v>
      </c>
    </row>
    <row r="51" spans="1:8" x14ac:dyDescent="0.35">
      <c r="A51" s="3" t="s">
        <v>2984</v>
      </c>
      <c r="B51" s="3" t="s">
        <v>2985</v>
      </c>
      <c r="C51" s="3" t="s">
        <v>2985</v>
      </c>
      <c r="D51" s="3" t="s">
        <v>2986</v>
      </c>
      <c r="E51" s="3" t="s">
        <v>3126</v>
      </c>
      <c r="F51" s="3" t="s">
        <v>3127</v>
      </c>
      <c r="G51" s="3" t="s">
        <v>2989</v>
      </c>
      <c r="H51" s="3" t="s">
        <v>3128</v>
      </c>
    </row>
    <row r="52" spans="1:8" x14ac:dyDescent="0.35">
      <c r="A52" s="3" t="s">
        <v>2984</v>
      </c>
      <c r="B52" s="3" t="s">
        <v>2985</v>
      </c>
      <c r="C52" s="3" t="s">
        <v>2985</v>
      </c>
      <c r="D52" s="3" t="s">
        <v>2986</v>
      </c>
      <c r="E52" s="3" t="s">
        <v>3129</v>
      </c>
      <c r="F52" s="3" t="s">
        <v>3130</v>
      </c>
      <c r="G52" s="3" t="s">
        <v>2989</v>
      </c>
      <c r="H52" s="3" t="s">
        <v>3131</v>
      </c>
    </row>
    <row r="53" spans="1:8" x14ac:dyDescent="0.35">
      <c r="A53" s="3" t="s">
        <v>2984</v>
      </c>
      <c r="B53" s="3" t="s">
        <v>2985</v>
      </c>
      <c r="C53" s="3" t="s">
        <v>2985</v>
      </c>
      <c r="D53" s="3" t="s">
        <v>2986</v>
      </c>
      <c r="E53" s="3" t="s">
        <v>3132</v>
      </c>
      <c r="F53" s="3" t="s">
        <v>3133</v>
      </c>
      <c r="G53" s="3" t="s">
        <v>2989</v>
      </c>
      <c r="H53" s="3" t="s">
        <v>3134</v>
      </c>
    </row>
    <row r="54" spans="1:8" x14ac:dyDescent="0.35">
      <c r="A54" s="3" t="s">
        <v>2984</v>
      </c>
      <c r="B54" s="3" t="s">
        <v>2985</v>
      </c>
      <c r="C54" s="3" t="s">
        <v>2985</v>
      </c>
      <c r="D54" s="3" t="s">
        <v>2986</v>
      </c>
      <c r="E54" s="3" t="s">
        <v>3135</v>
      </c>
      <c r="F54" s="3" t="s">
        <v>3136</v>
      </c>
      <c r="G54" s="3" t="s">
        <v>2989</v>
      </c>
      <c r="H54" s="3" t="s">
        <v>3063</v>
      </c>
    </row>
    <row r="55" spans="1:8" x14ac:dyDescent="0.35">
      <c r="A55" s="3" t="s">
        <v>2984</v>
      </c>
      <c r="B55" s="3" t="s">
        <v>2985</v>
      </c>
      <c r="C55" s="3" t="s">
        <v>2985</v>
      </c>
      <c r="D55" s="3" t="s">
        <v>2986</v>
      </c>
      <c r="E55" s="3" t="s">
        <v>3137</v>
      </c>
      <c r="F55" s="3" t="s">
        <v>3138</v>
      </c>
      <c r="G55" s="3" t="s">
        <v>2989</v>
      </c>
      <c r="H55" s="3" t="s">
        <v>3139</v>
      </c>
    </row>
    <row r="56" spans="1:8" x14ac:dyDescent="0.35">
      <c r="A56" s="3" t="s">
        <v>2984</v>
      </c>
      <c r="B56" s="3" t="s">
        <v>2985</v>
      </c>
      <c r="C56" s="3" t="s">
        <v>2985</v>
      </c>
      <c r="D56" s="3" t="s">
        <v>2986</v>
      </c>
      <c r="E56" s="3" t="s">
        <v>3140</v>
      </c>
      <c r="F56" s="3" t="s">
        <v>3141</v>
      </c>
      <c r="G56" s="3" t="s">
        <v>2989</v>
      </c>
      <c r="H56" s="3" t="s">
        <v>3142</v>
      </c>
    </row>
    <row r="57" spans="1:8" x14ac:dyDescent="0.35">
      <c r="A57" s="3" t="s">
        <v>2984</v>
      </c>
      <c r="B57" s="3" t="s">
        <v>2985</v>
      </c>
      <c r="C57" s="3" t="s">
        <v>2985</v>
      </c>
      <c r="D57" s="3" t="s">
        <v>2986</v>
      </c>
      <c r="E57" s="3" t="s">
        <v>3143</v>
      </c>
      <c r="F57" s="3" t="s">
        <v>3144</v>
      </c>
      <c r="G57" s="3" t="s">
        <v>2989</v>
      </c>
      <c r="H57" s="3" t="s">
        <v>3145</v>
      </c>
    </row>
    <row r="58" spans="1:8" x14ac:dyDescent="0.35">
      <c r="A58" s="3" t="s">
        <v>2984</v>
      </c>
      <c r="B58" s="3" t="s">
        <v>2985</v>
      </c>
      <c r="C58" s="3" t="s">
        <v>2985</v>
      </c>
      <c r="D58" s="3" t="s">
        <v>2986</v>
      </c>
      <c r="E58" s="3" t="s">
        <v>3146</v>
      </c>
      <c r="F58" s="3" t="s">
        <v>3147</v>
      </c>
      <c r="G58" s="3" t="s">
        <v>2989</v>
      </c>
      <c r="H58" s="3" t="s">
        <v>3148</v>
      </c>
    </row>
    <row r="59" spans="1:8" x14ac:dyDescent="0.35">
      <c r="A59" s="3" t="s">
        <v>2984</v>
      </c>
      <c r="B59" s="3" t="s">
        <v>2985</v>
      </c>
      <c r="C59" s="3" t="s">
        <v>2985</v>
      </c>
      <c r="D59" s="3" t="s">
        <v>2986</v>
      </c>
      <c r="E59" s="3" t="s">
        <v>3149</v>
      </c>
      <c r="F59" s="3" t="s">
        <v>3150</v>
      </c>
      <c r="G59" s="3" t="s">
        <v>2989</v>
      </c>
      <c r="H59" s="3" t="s">
        <v>3151</v>
      </c>
    </row>
    <row r="60" spans="1:8" x14ac:dyDescent="0.35">
      <c r="A60" s="3" t="s">
        <v>2984</v>
      </c>
      <c r="B60" s="3" t="s">
        <v>2985</v>
      </c>
      <c r="C60" s="3" t="s">
        <v>2985</v>
      </c>
      <c r="D60" s="3" t="s">
        <v>2986</v>
      </c>
      <c r="E60" s="3" t="s">
        <v>3152</v>
      </c>
      <c r="F60" s="3" t="s">
        <v>3153</v>
      </c>
      <c r="G60" s="3" t="s">
        <v>2989</v>
      </c>
      <c r="H60" s="3" t="s">
        <v>3154</v>
      </c>
    </row>
    <row r="61" spans="1:8" x14ac:dyDescent="0.35">
      <c r="A61" s="3" t="s">
        <v>2984</v>
      </c>
      <c r="B61" s="3" t="s">
        <v>2985</v>
      </c>
      <c r="C61" s="3" t="s">
        <v>2985</v>
      </c>
      <c r="D61" s="3" t="s">
        <v>2986</v>
      </c>
      <c r="E61" s="3" t="s">
        <v>3155</v>
      </c>
      <c r="F61" s="3" t="s">
        <v>3156</v>
      </c>
      <c r="G61" s="3" t="s">
        <v>2989</v>
      </c>
      <c r="H61" s="3" t="s">
        <v>3157</v>
      </c>
    </row>
    <row r="62" spans="1:8" x14ac:dyDescent="0.35">
      <c r="A62" s="3" t="s">
        <v>2984</v>
      </c>
      <c r="B62" s="3" t="s">
        <v>2985</v>
      </c>
      <c r="C62" s="3" t="s">
        <v>2985</v>
      </c>
      <c r="D62" s="3" t="s">
        <v>2986</v>
      </c>
      <c r="E62" s="3" t="s">
        <v>3158</v>
      </c>
      <c r="F62" s="3" t="s">
        <v>3159</v>
      </c>
      <c r="G62" s="3" t="s">
        <v>2989</v>
      </c>
      <c r="H62" s="3" t="s">
        <v>3160</v>
      </c>
    </row>
    <row r="63" spans="1:8" x14ac:dyDescent="0.35">
      <c r="A63" s="3" t="s">
        <v>2984</v>
      </c>
      <c r="B63" s="3" t="s">
        <v>3161</v>
      </c>
      <c r="C63" s="3" t="s">
        <v>3162</v>
      </c>
      <c r="D63" s="3" t="s">
        <v>3163</v>
      </c>
      <c r="E63" s="3" t="s">
        <v>41</v>
      </c>
      <c r="F63" s="3" t="s">
        <v>41</v>
      </c>
      <c r="G63" s="3" t="s">
        <v>2989</v>
      </c>
      <c r="H63" s="3" t="s">
        <v>3164</v>
      </c>
    </row>
    <row r="64" spans="1:8" x14ac:dyDescent="0.35">
      <c r="A64" s="3" t="s">
        <v>2984</v>
      </c>
      <c r="B64" s="3" t="s">
        <v>2985</v>
      </c>
      <c r="C64" s="3" t="s">
        <v>2985</v>
      </c>
      <c r="D64" s="3" t="s">
        <v>2986</v>
      </c>
      <c r="E64" s="3" t="s">
        <v>3165</v>
      </c>
      <c r="F64" s="3" t="s">
        <v>3166</v>
      </c>
      <c r="G64" s="3" t="s">
        <v>2989</v>
      </c>
      <c r="H64" s="3" t="s">
        <v>3167</v>
      </c>
    </row>
    <row r="65" spans="1:8" x14ac:dyDescent="0.35">
      <c r="A65" s="3" t="s">
        <v>2984</v>
      </c>
      <c r="B65" s="3" t="s">
        <v>2985</v>
      </c>
      <c r="C65" s="3" t="s">
        <v>2985</v>
      </c>
      <c r="D65" s="3" t="s">
        <v>2986</v>
      </c>
      <c r="E65" s="3" t="s">
        <v>3168</v>
      </c>
      <c r="F65" s="3" t="s">
        <v>3169</v>
      </c>
      <c r="G65" s="3" t="s">
        <v>2989</v>
      </c>
      <c r="H65" s="3" t="s">
        <v>3167</v>
      </c>
    </row>
  </sheetData>
  <autoFilter ref="A1:H65" xr:uid="{7F2935DF-1693-46E2-977A-077849527B4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06dce4-cbbc-4b7c-9d72-6587edae6489">
      <Terms xmlns="http://schemas.microsoft.com/office/infopath/2007/PartnerControls"/>
    </lcf76f155ced4ddcb4097134ff3c332f>
    <TaxCatchAll xmlns="18f43a4f-b93a-4e54-b97a-f75f843bb3e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1F52E20ACDF71479FC5DCB95909130E" ma:contentTypeVersion="10" ma:contentTypeDescription="Create a new document." ma:contentTypeScope="" ma:versionID="34c85ca4feb9c1fde9043788cdee1c90">
  <xsd:schema xmlns:xsd="http://www.w3.org/2001/XMLSchema" xmlns:xs="http://www.w3.org/2001/XMLSchema" xmlns:p="http://schemas.microsoft.com/office/2006/metadata/properties" xmlns:ns2="0206dce4-cbbc-4b7c-9d72-6587edae6489" xmlns:ns3="18f43a4f-b93a-4e54-b97a-f75f843bb3e4" targetNamespace="http://schemas.microsoft.com/office/2006/metadata/properties" ma:root="true" ma:fieldsID="17be8342922df6b28c9cbaa40c6afdfb" ns2:_="" ns3:_="">
    <xsd:import namespace="0206dce4-cbbc-4b7c-9d72-6587edae6489"/>
    <xsd:import namespace="18f43a4f-b93a-4e54-b97a-f75f843bb3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06dce4-cbbc-4b7c-9d72-6587edae64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8f43a4f-b93a-4e54-b97a-f75f843bb3e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61bd4ab-6621-4958-88d9-337e924107aa}" ma:internalName="TaxCatchAll" ma:showField="CatchAllData" ma:web="18f43a4f-b93a-4e54-b97a-f75f843bb3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5DB7F4-FADC-43E2-9AD4-FC7AD80F8604}">
  <ds:schemaRefs>
    <ds:schemaRef ds:uri="http://schemas.microsoft.com/office/2006/metadata/properties"/>
    <ds:schemaRef ds:uri="0206dce4-cbbc-4b7c-9d72-6587edae6489"/>
    <ds:schemaRef ds:uri="http://schemas.microsoft.com/office/infopath/2007/PartnerControls"/>
    <ds:schemaRef ds:uri="http://purl.org/dc/terms/"/>
    <ds:schemaRef ds:uri="http://schemas.microsoft.com/office/2006/documentManagement/types"/>
    <ds:schemaRef ds:uri="18f43a4f-b93a-4e54-b97a-f75f843bb3e4"/>
    <ds:schemaRef ds:uri="http://purl.org/dc/dcmitype/"/>
    <ds:schemaRef ds:uri="http://schemas.openxmlformats.org/package/2006/metadata/core-properties"/>
    <ds:schemaRef ds:uri="http://www.w3.org/XML/1998/namespace"/>
    <ds:schemaRef ds:uri="http://purl.org/dc/elements/1.1/"/>
  </ds:schemaRefs>
</ds:datastoreItem>
</file>

<file path=customXml/itemProps2.xml><?xml version="1.0" encoding="utf-8"?>
<ds:datastoreItem xmlns:ds="http://schemas.openxmlformats.org/officeDocument/2006/customXml" ds:itemID="{CBF90DDC-B5B8-46FB-9B0C-D442D4DCE0D7}">
  <ds:schemaRefs>
    <ds:schemaRef ds:uri="http://schemas.microsoft.com/sharepoint/v3/contenttype/forms"/>
  </ds:schemaRefs>
</ds:datastoreItem>
</file>

<file path=customXml/itemProps3.xml><?xml version="1.0" encoding="utf-8"?>
<ds:datastoreItem xmlns:ds="http://schemas.openxmlformats.org/officeDocument/2006/customXml" ds:itemID="{25B749BB-3923-4BD5-91EC-D28B7FCCAE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06dce4-cbbc-4b7c-9d72-6587edae6489"/>
    <ds:schemaRef ds:uri="18f43a4f-b93a-4e54-b97a-f75f843bb3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Capa</vt:lpstr>
      <vt:lpstr>Variáveis CDP</vt:lpstr>
      <vt:lpstr>BACKLOG PF</vt:lpstr>
      <vt:lpstr>EVENTOS BATCH</vt:lpstr>
      <vt:lpstr>Eventos</vt:lpstr>
    </vt:vector>
  </TitlesOfParts>
  <Manager/>
  <Company>Santander Brasil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Marina Kaiser Brasil Ribeiro</dc:creator>
  <cp:keywords/>
  <dc:description/>
  <cp:lastModifiedBy>Marcelo Oliveira Barbosa (P)</cp:lastModifiedBy>
  <cp:revision/>
  <dcterms:created xsi:type="dcterms:W3CDTF">2025-01-28T12:39:41Z</dcterms:created>
  <dcterms:modified xsi:type="dcterms:W3CDTF">2026-04-15T22:10:42Z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0x01010091F52E20ACDF71479FC5DCB95909130E</vt:lpwstr>
  </property>
  <property fmtid="{D5CDD505-2E9C-101B-9397-08002B2CF9AE}" pid="3" name="MediaServiceImageTags">
    <vt:lpwstr/>
  </property>
  <property fmtid="{D5CDD505-2E9C-101B-9397-08002B2CF9AE}" pid="4" name="MSIP_Label_41b88ec2-a72b-4523-9e84-0458a1764731_Enabled">
    <vt:lpwstr>true</vt:lpwstr>
  </property>
  <property fmtid="{D5CDD505-2E9C-101B-9397-08002B2CF9AE}" pid="5" name="MSIP_Label_41b88ec2-a72b-4523-9e84-0458a1764731_SetDate">
    <vt:lpwstr>2026-04-15T22:10:23Z</vt:lpwstr>
  </property>
  <property fmtid="{D5CDD505-2E9C-101B-9397-08002B2CF9AE}" pid="6" name="MSIP_Label_41b88ec2-a72b-4523-9e84-0458a1764731_Method">
    <vt:lpwstr>Privileged</vt:lpwstr>
  </property>
  <property fmtid="{D5CDD505-2E9C-101B-9397-08002B2CF9AE}" pid="7" name="MSIP_Label_41b88ec2-a72b-4523-9e84-0458a1764731_Name">
    <vt:lpwstr>Public O365</vt:lpwstr>
  </property>
  <property fmtid="{D5CDD505-2E9C-101B-9397-08002B2CF9AE}" pid="8" name="MSIP_Label_41b88ec2-a72b-4523-9e84-0458a1764731_SiteId">
    <vt:lpwstr>35595a02-4d6d-44ac-99e1-f9ab4cd872db</vt:lpwstr>
  </property>
  <property fmtid="{D5CDD505-2E9C-101B-9397-08002B2CF9AE}" pid="9" name="MSIP_Label_41b88ec2-a72b-4523-9e84-0458a1764731_ActionId">
    <vt:lpwstr>f51a52b1-20ee-47a2-8bd3-2b3be5a64dc2</vt:lpwstr>
  </property>
  <property fmtid="{D5CDD505-2E9C-101B-9397-08002B2CF9AE}" pid="10" name="MSIP_Label_41b88ec2-a72b-4523-9e84-0458a1764731_ContentBits">
    <vt:lpwstr>0</vt:lpwstr>
  </property>
  <property fmtid="{D5CDD505-2E9C-101B-9397-08002B2CF9AE}" pid="11" name="MSIP_Label_41b88ec2-a72b-4523-9e84-0458a1764731_Tag">
    <vt:lpwstr>10, 0, 1, 1</vt:lpwstr>
  </property>
</Properties>
</file>